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28755" windowHeight="14370"/>
  </bookViews>
  <sheets>
    <sheet name="FINITE-TIME RUIN" sheetId="1" r:id="rId1"/>
  </sheets>
  <calcPr calcId="125725"/>
</workbook>
</file>

<file path=xl/calcChain.xml><?xml version="1.0" encoding="utf-8"?>
<calcChain xmlns="http://schemas.openxmlformats.org/spreadsheetml/2006/main">
  <c r="K8" i="1"/>
  <c r="B9"/>
  <c r="C9" s="1"/>
  <c r="K14"/>
  <c r="K15"/>
  <c r="K16"/>
  <c r="K17"/>
  <c r="K18"/>
  <c r="K9"/>
  <c r="K10"/>
  <c r="K11"/>
  <c r="K12"/>
  <c r="K13"/>
  <c r="O3"/>
  <c r="A9" s="1"/>
  <c r="D9" s="1"/>
  <c r="M3" l="1"/>
  <c r="E9" l="1"/>
  <c r="B10" l="1"/>
  <c r="C10" s="1"/>
  <c r="A10"/>
  <c r="D10" s="1"/>
  <c r="F9"/>
  <c r="E10" l="1"/>
  <c r="B11" s="1"/>
  <c r="C11" s="1"/>
  <c r="A11" l="1"/>
  <c r="D11" s="1"/>
  <c r="F10"/>
  <c r="E11" l="1"/>
  <c r="A12" s="1"/>
  <c r="D12" s="1"/>
  <c r="B12" l="1"/>
  <c r="C12" s="1"/>
  <c r="E12" s="1"/>
  <c r="F11"/>
  <c r="A13" l="1"/>
  <c r="D13" s="1"/>
  <c r="F12"/>
  <c r="B13"/>
  <c r="C13" s="1"/>
  <c r="E13" l="1"/>
  <c r="B14" l="1"/>
  <c r="C14" s="1"/>
  <c r="F13"/>
  <c r="A14"/>
  <c r="D14" s="1"/>
  <c r="E14" l="1"/>
  <c r="B15" l="1"/>
  <c r="C15" s="1"/>
  <c r="F14"/>
  <c r="A15"/>
  <c r="D15" l="1"/>
  <c r="E15" s="1"/>
  <c r="B16" l="1"/>
  <c r="C16" s="1"/>
  <c r="F15"/>
  <c r="A16"/>
  <c r="D16" l="1"/>
  <c r="E16" s="1"/>
  <c r="F16" s="1"/>
  <c r="A17" l="1"/>
  <c r="D17" s="1"/>
  <c r="B17"/>
  <c r="C17" s="1"/>
  <c r="E17" l="1"/>
  <c r="B18" s="1"/>
  <c r="C18" s="1"/>
  <c r="A18" l="1"/>
  <c r="D18" s="1"/>
  <c r="F17"/>
  <c r="E18" l="1"/>
  <c r="F18" s="1"/>
  <c r="A19" l="1"/>
  <c r="B19"/>
  <c r="C19" s="1"/>
  <c r="D19" l="1"/>
  <c r="E19" s="1"/>
  <c r="B20" l="1"/>
  <c r="C20" s="1"/>
  <c r="F19"/>
  <c r="A20"/>
  <c r="D20" s="1"/>
  <c r="E20" l="1"/>
  <c r="F20" l="1"/>
  <c r="A21"/>
  <c r="B21"/>
  <c r="C21" s="1"/>
  <c r="D21" l="1"/>
  <c r="E21" s="1"/>
  <c r="A22" l="1"/>
  <c r="B22"/>
  <c r="C22" s="1"/>
  <c r="F21"/>
  <c r="D22" l="1"/>
  <c r="E22" s="1"/>
  <c r="F22" l="1"/>
  <c r="A23"/>
  <c r="D23" s="1"/>
  <c r="B23"/>
  <c r="C23" s="1"/>
  <c r="E23" l="1"/>
  <c r="F23" l="1"/>
  <c r="A24"/>
  <c r="D24" s="1"/>
  <c r="B24"/>
  <c r="C24" s="1"/>
  <c r="E24" l="1"/>
  <c r="F24" l="1"/>
  <c r="B25"/>
  <c r="C25" s="1"/>
  <c r="A25"/>
  <c r="D25" s="1"/>
  <c r="E25" l="1"/>
  <c r="F25" l="1"/>
  <c r="A26"/>
  <c r="B26"/>
  <c r="C26" s="1"/>
  <c r="D26" l="1"/>
  <c r="E26" s="1"/>
  <c r="A27" l="1"/>
  <c r="F26"/>
  <c r="B27"/>
  <c r="C27" s="1"/>
  <c r="D27" l="1"/>
  <c r="E27" s="1"/>
  <c r="F27" l="1"/>
  <c r="B28"/>
  <c r="C28" s="1"/>
  <c r="A28"/>
  <c r="D28" s="1"/>
  <c r="E28" l="1"/>
  <c r="A29" l="1"/>
  <c r="B29"/>
  <c r="C29" s="1"/>
  <c r="F28"/>
  <c r="D29" l="1"/>
  <c r="E29" s="1"/>
  <c r="A30" l="1"/>
  <c r="D30" s="1"/>
  <c r="B30"/>
  <c r="C30" s="1"/>
  <c r="F29"/>
  <c r="E30" l="1"/>
  <c r="A31" l="1"/>
  <c r="D31" s="1"/>
  <c r="B31"/>
  <c r="C31" s="1"/>
  <c r="F30"/>
  <c r="E31" l="1"/>
  <c r="F31" l="1"/>
  <c r="A32"/>
  <c r="B32"/>
  <c r="C32" s="1"/>
  <c r="D32" l="1"/>
  <c r="E32" s="1"/>
  <c r="A33" l="1"/>
  <c r="D33" s="1"/>
  <c r="B33"/>
  <c r="C33" s="1"/>
  <c r="F32"/>
  <c r="E33" l="1"/>
  <c r="F33" l="1"/>
  <c r="A34"/>
  <c r="B34"/>
  <c r="C34" s="1"/>
  <c r="D34" l="1"/>
  <c r="E34" s="1"/>
  <c r="F34" l="1"/>
  <c r="A35"/>
  <c r="D35" s="1"/>
  <c r="B35"/>
  <c r="C35" s="1"/>
  <c r="E35" l="1"/>
  <c r="B36" l="1"/>
  <c r="C36" s="1"/>
  <c r="F35"/>
  <c r="A36"/>
  <c r="D36" s="1"/>
  <c r="E36" l="1"/>
  <c r="F36" l="1"/>
  <c r="A37"/>
  <c r="B37"/>
  <c r="C37" s="1"/>
  <c r="D37" l="1"/>
  <c r="E37" s="1"/>
  <c r="F37" l="1"/>
  <c r="A38"/>
  <c r="D38" s="1"/>
  <c r="B38"/>
  <c r="C38" s="1"/>
  <c r="E38" l="1"/>
  <c r="F38" l="1"/>
  <c r="B39"/>
  <c r="C39" s="1"/>
  <c r="A39"/>
  <c r="D39" s="1"/>
  <c r="E39" l="1"/>
  <c r="F39" l="1"/>
  <c r="A40"/>
  <c r="B40"/>
  <c r="C40" s="1"/>
  <c r="D40" l="1"/>
  <c r="E40" s="1"/>
  <c r="A41" l="1"/>
  <c r="F40"/>
  <c r="B41"/>
  <c r="C41" s="1"/>
  <c r="D41" l="1"/>
  <c r="E41" s="1"/>
  <c r="A42" l="1"/>
  <c r="B42"/>
  <c r="C42" s="1"/>
  <c r="F41"/>
  <c r="D42" l="1"/>
  <c r="E42" s="1"/>
  <c r="F42" l="1"/>
  <c r="B43"/>
  <c r="C43" s="1"/>
  <c r="A43"/>
  <c r="D43" s="1"/>
  <c r="E43" l="1"/>
  <c r="A44" l="1"/>
  <c r="D44" s="1"/>
  <c r="F43"/>
  <c r="B44"/>
  <c r="C44" s="1"/>
  <c r="E44" l="1"/>
  <c r="B45" l="1"/>
  <c r="C45" s="1"/>
  <c r="F44"/>
  <c r="A45"/>
  <c r="D45" l="1"/>
  <c r="E45" s="1"/>
  <c r="F45" l="1"/>
  <c r="A46"/>
  <c r="D46" s="1"/>
  <c r="B46"/>
  <c r="C46" s="1"/>
  <c r="E46" l="1"/>
  <c r="A47" l="1"/>
  <c r="B47"/>
  <c r="C47" s="1"/>
  <c r="F46"/>
  <c r="D47" l="1"/>
  <c r="E47" s="1"/>
  <c r="F47" l="1"/>
  <c r="A48"/>
  <c r="D48" s="1"/>
  <c r="B48"/>
  <c r="C48" s="1"/>
  <c r="E48" l="1"/>
  <c r="A49" l="1"/>
  <c r="D49" s="1"/>
  <c r="F48"/>
  <c r="B49"/>
  <c r="C49" s="1"/>
  <c r="E49" l="1"/>
  <c r="F49" l="1"/>
  <c r="A50"/>
  <c r="D50" s="1"/>
  <c r="B50"/>
  <c r="C50" s="1"/>
  <c r="E50" l="1"/>
  <c r="B51" l="1"/>
  <c r="C51" s="1"/>
  <c r="A51"/>
  <c r="D51" s="1"/>
  <c r="F50"/>
  <c r="E51" l="1"/>
  <c r="A52" l="1"/>
  <c r="D52" s="1"/>
  <c r="B52"/>
  <c r="C52" s="1"/>
  <c r="F51"/>
  <c r="E52" l="1"/>
  <c r="B53" l="1"/>
  <c r="C53" s="1"/>
  <c r="F52"/>
  <c r="A53"/>
  <c r="D53" s="1"/>
  <c r="E53" l="1"/>
  <c r="F53" l="1"/>
  <c r="B54"/>
  <c r="C54" s="1"/>
  <c r="A54"/>
  <c r="D54" l="1"/>
  <c r="E54" s="1"/>
  <c r="F54" l="1"/>
  <c r="B55"/>
  <c r="C55" s="1"/>
  <c r="A55"/>
  <c r="D55" s="1"/>
  <c r="E55" l="1"/>
  <c r="B56" l="1"/>
  <c r="C56" s="1"/>
  <c r="F55"/>
  <c r="A56"/>
  <c r="D56" s="1"/>
  <c r="E56" l="1"/>
  <c r="F56" l="1"/>
  <c r="A57"/>
  <c r="D57" s="1"/>
  <c r="B57"/>
  <c r="C57" s="1"/>
  <c r="E57" l="1"/>
  <c r="F57" l="1"/>
  <c r="A58"/>
  <c r="D58" s="1"/>
  <c r="B58"/>
  <c r="C58" s="1"/>
  <c r="E58" l="1"/>
  <c r="B59" l="1"/>
  <c r="C59" s="1"/>
  <c r="A59"/>
  <c r="D59" s="1"/>
  <c r="F58"/>
  <c r="E59" l="1"/>
  <c r="F59" l="1"/>
  <c r="A60"/>
  <c r="D60" s="1"/>
  <c r="B60"/>
  <c r="C60" s="1"/>
  <c r="E60" l="1"/>
  <c r="F60" l="1"/>
  <c r="A61"/>
  <c r="D61" s="1"/>
  <c r="B61"/>
  <c r="C61" s="1"/>
  <c r="E61" l="1"/>
  <c r="F61" l="1"/>
  <c r="B62"/>
  <c r="C62" s="1"/>
  <c r="A62"/>
  <c r="D62" l="1"/>
  <c r="E62" s="1"/>
  <c r="A63" l="1"/>
  <c r="D63" s="1"/>
  <c r="B63"/>
  <c r="C63" s="1"/>
  <c r="F62"/>
  <c r="E63" l="1"/>
  <c r="B64" l="1"/>
  <c r="C64" s="1"/>
  <c r="F63"/>
  <c r="A64"/>
  <c r="D64" l="1"/>
  <c r="E64" s="1"/>
  <c r="F64" l="1"/>
  <c r="B65"/>
  <c r="C65" s="1"/>
  <c r="A65"/>
  <c r="D65" s="1"/>
  <c r="E65" l="1"/>
  <c r="F65" l="1"/>
  <c r="A66"/>
  <c r="B66"/>
  <c r="C66" s="1"/>
  <c r="D66" l="1"/>
  <c r="E66" s="1"/>
  <c r="F66" l="1"/>
  <c r="A67"/>
  <c r="B67"/>
  <c r="C67" s="1"/>
  <c r="D67" l="1"/>
  <c r="E67" s="1"/>
  <c r="B68" l="1"/>
  <c r="C68" s="1"/>
  <c r="A68"/>
  <c r="F67"/>
  <c r="D68" l="1"/>
  <c r="E68" s="1"/>
  <c r="B69" l="1"/>
  <c r="C69" s="1"/>
  <c r="A69"/>
  <c r="F68"/>
  <c r="D69" l="1"/>
  <c r="E69" s="1"/>
  <c r="F69" l="1"/>
  <c r="B70"/>
  <c r="C70" s="1"/>
  <c r="A70"/>
  <c r="D70" s="1"/>
  <c r="E70" l="1"/>
  <c r="A71" l="1"/>
  <c r="F70"/>
  <c r="B71"/>
  <c r="C71" s="1"/>
  <c r="D71" l="1"/>
  <c r="E71" s="1"/>
  <c r="A72" l="1"/>
  <c r="D72" s="1"/>
  <c r="B72"/>
  <c r="C72" s="1"/>
  <c r="F71"/>
  <c r="E72" l="1"/>
  <c r="A73" l="1"/>
  <c r="F72"/>
  <c r="B73"/>
  <c r="C73" s="1"/>
  <c r="D73" l="1"/>
  <c r="E73" s="1"/>
  <c r="B74" l="1"/>
  <c r="C74" s="1"/>
  <c r="F73"/>
  <c r="A74"/>
  <c r="D74" s="1"/>
  <c r="E74" l="1"/>
  <c r="F74" l="1"/>
  <c r="A75"/>
  <c r="B75"/>
  <c r="C75" s="1"/>
  <c r="D75" l="1"/>
  <c r="E75" s="1"/>
  <c r="B76" l="1"/>
  <c r="C76" s="1"/>
  <c r="A76"/>
  <c r="D76" s="1"/>
  <c r="F75"/>
  <c r="E76" l="1"/>
  <c r="A77" l="1"/>
  <c r="F76"/>
  <c r="B77"/>
  <c r="C77" s="1"/>
  <c r="D77" l="1"/>
  <c r="E77" s="1"/>
  <c r="B78" l="1"/>
  <c r="C78" s="1"/>
  <c r="A78"/>
  <c r="F77"/>
  <c r="D78" l="1"/>
  <c r="E78" s="1"/>
  <c r="F78" l="1"/>
  <c r="B79"/>
  <c r="C79" s="1"/>
  <c r="A79"/>
  <c r="D79" s="1"/>
  <c r="E79" l="1"/>
  <c r="F79" l="1"/>
  <c r="B80"/>
  <c r="C80" s="1"/>
  <c r="A80"/>
  <c r="D80" s="1"/>
  <c r="E80" l="1"/>
  <c r="F80" l="1"/>
  <c r="B81"/>
  <c r="C81" s="1"/>
  <c r="A81"/>
  <c r="D81" s="1"/>
  <c r="E81" l="1"/>
  <c r="F81" l="1"/>
  <c r="A82"/>
  <c r="D82" s="1"/>
  <c r="B82"/>
  <c r="C82" s="1"/>
  <c r="E82" l="1"/>
  <c r="F82" l="1"/>
  <c r="A83"/>
  <c r="B83"/>
  <c r="C83" s="1"/>
  <c r="D83" l="1"/>
  <c r="E83" s="1"/>
  <c r="F83" l="1"/>
  <c r="A84"/>
  <c r="D84" s="1"/>
  <c r="B84"/>
  <c r="C84" s="1"/>
  <c r="E84" l="1"/>
  <c r="B85" l="1"/>
  <c r="C85" s="1"/>
  <c r="A85"/>
  <c r="D85" s="1"/>
  <c r="F84"/>
  <c r="E85" l="1"/>
  <c r="A86" l="1"/>
  <c r="F85"/>
  <c r="B86"/>
  <c r="C86" s="1"/>
  <c r="D86" l="1"/>
  <c r="E86" s="1"/>
  <c r="F86" l="1"/>
  <c r="A87"/>
  <c r="D87" s="1"/>
  <c r="B87"/>
  <c r="C87" s="1"/>
  <c r="E87" l="1"/>
  <c r="F87" l="1"/>
  <c r="B88"/>
  <c r="C88" s="1"/>
  <c r="A88"/>
  <c r="D88" s="1"/>
  <c r="E88" l="1"/>
  <c r="B89" l="1"/>
  <c r="C89" s="1"/>
  <c r="F88"/>
  <c r="A89"/>
  <c r="D89" l="1"/>
  <c r="E89" s="1"/>
  <c r="F89" l="1"/>
  <c r="A90"/>
  <c r="D90" s="1"/>
  <c r="B90"/>
  <c r="C90" s="1"/>
  <c r="E90" l="1"/>
  <c r="B91" l="1"/>
  <c r="C91" s="1"/>
  <c r="F90"/>
  <c r="A91"/>
  <c r="D91" s="1"/>
  <c r="E91" l="1"/>
  <c r="A92" l="1"/>
  <c r="D92" s="1"/>
  <c r="F91"/>
  <c r="B92"/>
  <c r="C92" s="1"/>
  <c r="E92" l="1"/>
  <c r="A93" l="1"/>
  <c r="D93" s="1"/>
  <c r="F92"/>
  <c r="B93"/>
  <c r="C93" s="1"/>
  <c r="E93" l="1"/>
  <c r="B94" l="1"/>
  <c r="C94" s="1"/>
  <c r="F93"/>
  <c r="A94"/>
  <c r="D94" s="1"/>
  <c r="E94" l="1"/>
  <c r="B95" l="1"/>
  <c r="C95" s="1"/>
  <c r="A95"/>
  <c r="F94"/>
  <c r="D95" l="1"/>
  <c r="E95" s="1"/>
  <c r="A96" l="1"/>
  <c r="F95"/>
  <c r="B96"/>
  <c r="C96" s="1"/>
  <c r="D96" l="1"/>
  <c r="E96" s="1"/>
  <c r="B97" l="1"/>
  <c r="C97" s="1"/>
  <c r="F96"/>
  <c r="A97"/>
  <c r="D97" l="1"/>
  <c r="E97" s="1"/>
  <c r="B98" l="1"/>
  <c r="C98" s="1"/>
  <c r="F97"/>
  <c r="A98"/>
  <c r="D98" l="1"/>
  <c r="E98" s="1"/>
  <c r="B99" l="1"/>
  <c r="C99" s="1"/>
  <c r="A99"/>
  <c r="D99" s="1"/>
  <c r="F98"/>
  <c r="E99" l="1"/>
  <c r="B100" l="1"/>
  <c r="C100" s="1"/>
  <c r="F99"/>
  <c r="A100"/>
  <c r="D100" s="1"/>
  <c r="E100" l="1"/>
  <c r="B101" s="1"/>
  <c r="A101" l="1"/>
  <c r="F100"/>
  <c r="C101"/>
  <c r="D101" l="1"/>
  <c r="E101" s="1"/>
  <c r="A102" l="1"/>
  <c r="F101"/>
  <c r="B102"/>
  <c r="C102" s="1"/>
  <c r="D102" l="1"/>
  <c r="E102" s="1"/>
  <c r="F102" l="1"/>
  <c r="B103"/>
  <c r="C103" s="1"/>
  <c r="A103"/>
  <c r="D103" l="1"/>
  <c r="E103" s="1"/>
  <c r="F103" l="1"/>
  <c r="B104"/>
  <c r="C104" s="1"/>
  <c r="A104"/>
  <c r="D104" s="1"/>
  <c r="E104" l="1"/>
  <c r="A105" l="1"/>
  <c r="F104"/>
  <c r="B105"/>
  <c r="C105" s="1"/>
  <c r="D105" l="1"/>
  <c r="E105" s="1"/>
  <c r="F105" l="1"/>
  <c r="B106"/>
  <c r="C106" s="1"/>
  <c r="A106"/>
  <c r="D106" l="1"/>
  <c r="E106" s="1"/>
  <c r="B107" l="1"/>
  <c r="C107" s="1"/>
  <c r="A107"/>
  <c r="D107" s="1"/>
  <c r="F106"/>
  <c r="E107" l="1"/>
  <c r="F107" l="1"/>
  <c r="B108"/>
  <c r="C108" s="1"/>
  <c r="A108"/>
  <c r="D108" l="1"/>
  <c r="E108" s="1"/>
  <c r="A109" l="1"/>
  <c r="F108"/>
  <c r="B109"/>
  <c r="C109" s="1"/>
  <c r="D109" l="1"/>
  <c r="E109" s="1"/>
  <c r="A110" s="1"/>
  <c r="D110" s="1"/>
  <c r="B110" l="1"/>
  <c r="C110" s="1"/>
  <c r="E110" s="1"/>
  <c r="F109"/>
  <c r="A111" l="1"/>
  <c r="B111"/>
  <c r="C111" s="1"/>
  <c r="F110"/>
  <c r="D111" l="1"/>
  <c r="E111" s="1"/>
  <c r="A112" l="1"/>
  <c r="B112"/>
  <c r="C112" s="1"/>
  <c r="F111"/>
  <c r="D112" l="1"/>
  <c r="E112" s="1"/>
  <c r="B113" l="1"/>
  <c r="C113" s="1"/>
  <c r="A113"/>
  <c r="D113" s="1"/>
  <c r="F112"/>
  <c r="E113" l="1"/>
  <c r="F113" l="1"/>
  <c r="A114"/>
  <c r="D114" s="1"/>
  <c r="B114"/>
  <c r="C114" s="1"/>
  <c r="E114" l="1"/>
  <c r="A115" l="1"/>
  <c r="B115"/>
  <c r="C115" s="1"/>
  <c r="F114"/>
  <c r="D115" l="1"/>
  <c r="E115" s="1"/>
  <c r="A116" l="1"/>
  <c r="B116"/>
  <c r="C116" s="1"/>
  <c r="F115"/>
  <c r="D116" l="1"/>
  <c r="E116" s="1"/>
  <c r="A117" s="1"/>
  <c r="D117" l="1"/>
  <c r="F116"/>
  <c r="B117"/>
  <c r="C117" s="1"/>
  <c r="E117" l="1"/>
  <c r="A118" s="1"/>
  <c r="D118" s="1"/>
  <c r="F117" l="1"/>
  <c r="B118"/>
  <c r="C118" s="1"/>
  <c r="E118" s="1"/>
  <c r="F118" l="1"/>
  <c r="A119"/>
  <c r="B119"/>
  <c r="C119" s="1"/>
  <c r="D119" l="1"/>
  <c r="E119" s="1"/>
  <c r="F119" l="1"/>
  <c r="A120"/>
  <c r="D120" s="1"/>
  <c r="B120"/>
  <c r="C120" s="1"/>
  <c r="E120" l="1"/>
  <c r="B121" l="1"/>
  <c r="C121" s="1"/>
  <c r="A121"/>
  <c r="F120"/>
  <c r="D121" l="1"/>
  <c r="E121" s="1"/>
  <c r="B122" l="1"/>
  <c r="C122" s="1"/>
  <c r="F121"/>
  <c r="A122"/>
  <c r="D122" l="1"/>
  <c r="E122" s="1"/>
  <c r="A123" l="1"/>
  <c r="F122"/>
  <c r="B123"/>
  <c r="C123" s="1"/>
  <c r="D123" l="1"/>
  <c r="E123" s="1"/>
  <c r="F123" l="1"/>
  <c r="B124"/>
  <c r="C124" s="1"/>
  <c r="A124"/>
  <c r="D124" l="1"/>
  <c r="E124" s="1"/>
  <c r="B125" l="1"/>
  <c r="C125" s="1"/>
  <c r="A125"/>
  <c r="D125" s="1"/>
  <c r="F124"/>
  <c r="E125" l="1"/>
  <c r="B126" l="1"/>
  <c r="C126" s="1"/>
  <c r="F125"/>
  <c r="A126"/>
  <c r="D126" s="1"/>
  <c r="E126" l="1"/>
  <c r="B127" l="1"/>
  <c r="C127" s="1"/>
  <c r="F126"/>
  <c r="A127"/>
  <c r="D127" l="1"/>
  <c r="E127" s="1"/>
  <c r="F127" l="1"/>
  <c r="B128"/>
  <c r="C128" s="1"/>
  <c r="A128"/>
  <c r="D128" l="1"/>
  <c r="E128" s="1"/>
  <c r="F128" l="1"/>
  <c r="B129"/>
  <c r="C129" s="1"/>
  <c r="A129"/>
  <c r="D129" l="1"/>
  <c r="E129" s="1"/>
  <c r="A130" l="1"/>
  <c r="B130"/>
  <c r="C130" s="1"/>
  <c r="F129"/>
  <c r="D130" l="1"/>
  <c r="E130" s="1"/>
  <c r="F130" l="1"/>
  <c r="A131"/>
  <c r="B131"/>
  <c r="C131" s="1"/>
  <c r="D131" l="1"/>
  <c r="E131" s="1"/>
  <c r="A132" l="1"/>
  <c r="F131"/>
  <c r="B132"/>
  <c r="C132" s="1"/>
  <c r="D132" l="1"/>
  <c r="E132" s="1"/>
  <c r="B133" l="1"/>
  <c r="C133" s="1"/>
  <c r="A133"/>
  <c r="D133" s="1"/>
  <c r="F132"/>
  <c r="E133" l="1"/>
  <c r="B134" l="1"/>
  <c r="C134" s="1"/>
  <c r="A134"/>
  <c r="D134" s="1"/>
  <c r="F133"/>
  <c r="E134" l="1"/>
  <c r="F134" l="1"/>
  <c r="B135"/>
  <c r="C135" s="1"/>
  <c r="A135"/>
  <c r="D135" s="1"/>
  <c r="E135" l="1"/>
  <c r="F135" l="1"/>
  <c r="A136"/>
  <c r="D136" s="1"/>
  <c r="B136"/>
  <c r="C136" s="1"/>
  <c r="E136" l="1"/>
  <c r="B137" l="1"/>
  <c r="C137" s="1"/>
  <c r="F136"/>
  <c r="A137"/>
  <c r="D137" s="1"/>
  <c r="E137" l="1"/>
  <c r="B138" l="1"/>
  <c r="C138" s="1"/>
  <c r="F137"/>
  <c r="A138"/>
  <c r="D138" s="1"/>
  <c r="E138" l="1"/>
  <c r="A139" l="1"/>
  <c r="B139"/>
  <c r="C139" s="1"/>
  <c r="F138"/>
  <c r="D139" l="1"/>
  <c r="E139" s="1"/>
  <c r="A140" l="1"/>
  <c r="B140"/>
  <c r="C140" s="1"/>
  <c r="F139"/>
  <c r="D140" l="1"/>
  <c r="E140" s="1"/>
  <c r="F140" l="1"/>
  <c r="B141"/>
  <c r="C141" s="1"/>
  <c r="A141"/>
  <c r="D141" l="1"/>
  <c r="E141" s="1"/>
  <c r="B142" l="1"/>
  <c r="C142" s="1"/>
  <c r="F141"/>
  <c r="A142"/>
  <c r="D142" l="1"/>
  <c r="E142" s="1"/>
  <c r="A143" l="1"/>
  <c r="F142"/>
  <c r="B143"/>
  <c r="C143" s="1"/>
  <c r="D143" l="1"/>
  <c r="E143" s="1"/>
  <c r="A144" l="1"/>
  <c r="F143"/>
  <c r="B144"/>
  <c r="C144" s="1"/>
  <c r="D144" l="1"/>
  <c r="E144" s="1"/>
  <c r="B145" l="1"/>
  <c r="C145" s="1"/>
  <c r="A145"/>
  <c r="D145" s="1"/>
  <c r="F144"/>
  <c r="E145" l="1"/>
  <c r="F145" l="1"/>
  <c r="B146"/>
  <c r="C146" s="1"/>
  <c r="A146"/>
  <c r="D146" l="1"/>
  <c r="E146" s="1"/>
  <c r="F146" l="1"/>
  <c r="B147"/>
  <c r="C147" s="1"/>
  <c r="A147"/>
  <c r="D147" s="1"/>
  <c r="E147" l="1"/>
  <c r="F147" l="1"/>
  <c r="B148"/>
  <c r="C148" s="1"/>
  <c r="A148"/>
  <c r="D148" l="1"/>
  <c r="E148" s="1"/>
  <c r="F148" l="1"/>
  <c r="A149"/>
  <c r="D149" s="1"/>
  <c r="B149"/>
  <c r="C149" s="1"/>
  <c r="E149" l="1"/>
  <c r="A150" l="1"/>
  <c r="B150"/>
  <c r="C150" s="1"/>
  <c r="F149"/>
  <c r="D150" l="1"/>
  <c r="E150" s="1"/>
  <c r="A151" l="1"/>
  <c r="F150"/>
  <c r="B151"/>
  <c r="C151" s="1"/>
  <c r="D151" l="1"/>
  <c r="E151" s="1"/>
  <c r="B152" l="1"/>
  <c r="C152" s="1"/>
  <c r="A152"/>
  <c r="F151"/>
  <c r="D152" l="1"/>
  <c r="E152" s="1"/>
  <c r="A153" l="1"/>
  <c r="D153" s="1"/>
  <c r="B153"/>
  <c r="C153" s="1"/>
  <c r="F152"/>
  <c r="E153" l="1"/>
  <c r="A154" l="1"/>
  <c r="F153"/>
  <c r="B154"/>
  <c r="C154" s="1"/>
  <c r="D154" l="1"/>
  <c r="E154" s="1"/>
  <c r="A155" l="1"/>
  <c r="D155" s="1"/>
  <c r="F154"/>
  <c r="B155"/>
  <c r="C155" s="1"/>
  <c r="E155" l="1"/>
  <c r="B156" l="1"/>
  <c r="C156" s="1"/>
  <c r="A156"/>
  <c r="D156" s="1"/>
  <c r="F155"/>
  <c r="E156" l="1"/>
  <c r="B157" l="1"/>
  <c r="C157" s="1"/>
  <c r="A157"/>
  <c r="F156"/>
  <c r="D157" l="1"/>
  <c r="E157" s="1"/>
  <c r="A158" l="1"/>
  <c r="F157"/>
  <c r="B158"/>
  <c r="C158" s="1"/>
  <c r="D158" l="1"/>
  <c r="E158" s="1"/>
  <c r="A159" l="1"/>
  <c r="F158"/>
  <c r="B159"/>
  <c r="C159" s="1"/>
  <c r="D159" l="1"/>
  <c r="E159" s="1"/>
  <c r="F159" l="1"/>
  <c r="A160"/>
  <c r="D160" s="1"/>
  <c r="B160"/>
  <c r="C160" s="1"/>
  <c r="E160" l="1"/>
  <c r="F160" l="1"/>
  <c r="B161"/>
  <c r="C161" s="1"/>
  <c r="A161"/>
  <c r="D161" l="1"/>
  <c r="E161" s="1"/>
  <c r="A162" l="1"/>
  <c r="D162" s="1"/>
  <c r="B162"/>
  <c r="C162" s="1"/>
  <c r="F161"/>
  <c r="E162" l="1"/>
  <c r="F162" l="1"/>
  <c r="B163"/>
  <c r="C163" s="1"/>
  <c r="A163"/>
  <c r="D163" s="1"/>
  <c r="E163" l="1"/>
  <c r="B164" l="1"/>
  <c r="C164" s="1"/>
  <c r="A164"/>
  <c r="F163"/>
  <c r="D164" l="1"/>
  <c r="E164" s="1"/>
  <c r="B165" s="1"/>
  <c r="C165" l="1"/>
  <c r="A165"/>
  <c r="D165" s="1"/>
  <c r="F164"/>
  <c r="E165" l="1"/>
  <c r="F165" l="1"/>
  <c r="A166"/>
  <c r="D166" s="1"/>
  <c r="B166"/>
  <c r="C166" s="1"/>
  <c r="E166" l="1"/>
  <c r="B167" l="1"/>
  <c r="C167" s="1"/>
  <c r="F166"/>
  <c r="A167"/>
  <c r="D167" l="1"/>
  <c r="E167" s="1"/>
  <c r="F167" l="1"/>
  <c r="A168"/>
  <c r="D168" s="1"/>
  <c r="B168"/>
  <c r="C168" s="1"/>
  <c r="E168" l="1"/>
  <c r="F168" l="1"/>
  <c r="B169"/>
  <c r="C169" s="1"/>
  <c r="A169"/>
  <c r="D169" l="1"/>
  <c r="E169" s="1"/>
  <c r="F169" l="1"/>
  <c r="B170"/>
  <c r="C170" s="1"/>
  <c r="A170"/>
  <c r="D170" l="1"/>
  <c r="E170" s="1"/>
  <c r="F170" l="1"/>
  <c r="A171"/>
  <c r="D171" s="1"/>
  <c r="B171"/>
  <c r="C171" s="1"/>
  <c r="E171" l="1"/>
  <c r="B172" l="1"/>
  <c r="C172" s="1"/>
  <c r="F171"/>
  <c r="A172"/>
  <c r="D172" l="1"/>
  <c r="E172" s="1"/>
  <c r="A173" s="1"/>
  <c r="D173" l="1"/>
  <c r="F172"/>
  <c r="B173"/>
  <c r="C173" s="1"/>
  <c r="E173" l="1"/>
  <c r="F173" s="1"/>
  <c r="A174" l="1"/>
  <c r="D174" s="1"/>
  <c r="B174"/>
  <c r="C174" s="1"/>
  <c r="E174" l="1"/>
  <c r="B175" s="1"/>
  <c r="C175" s="1"/>
  <c r="F174" l="1"/>
  <c r="A175"/>
  <c r="D175" s="1"/>
  <c r="E175" s="1"/>
  <c r="B176" l="1"/>
  <c r="C176" s="1"/>
  <c r="A176"/>
  <c r="D176" s="1"/>
  <c r="F175"/>
  <c r="E176" l="1"/>
  <c r="F176" l="1"/>
  <c r="A177"/>
  <c r="D177" s="1"/>
  <c r="B177"/>
  <c r="C177" s="1"/>
  <c r="E177" l="1"/>
  <c r="B178" l="1"/>
  <c r="C178" s="1"/>
  <c r="F177"/>
  <c r="A178"/>
  <c r="D178" l="1"/>
  <c r="E178" s="1"/>
  <c r="B179" l="1"/>
  <c r="C179" s="1"/>
  <c r="F178"/>
  <c r="A179"/>
  <c r="D179" s="1"/>
  <c r="E179" l="1"/>
  <c r="A180" l="1"/>
  <c r="B180"/>
  <c r="C180" s="1"/>
  <c r="F179"/>
  <c r="D180" l="1"/>
  <c r="E180" s="1"/>
  <c r="F180" l="1"/>
  <c r="B181"/>
  <c r="C181" s="1"/>
  <c r="A181"/>
  <c r="D181" l="1"/>
  <c r="E181" s="1"/>
  <c r="F181" l="1"/>
  <c r="A182"/>
  <c r="B182"/>
  <c r="C182" s="1"/>
  <c r="D182" l="1"/>
  <c r="E182" s="1"/>
  <c r="A183" l="1"/>
  <c r="B183"/>
  <c r="C183" s="1"/>
  <c r="F182"/>
  <c r="D183" l="1"/>
  <c r="E183" s="1"/>
  <c r="B184" l="1"/>
  <c r="C184" s="1"/>
  <c r="A184"/>
  <c r="D184" s="1"/>
  <c r="F183"/>
  <c r="E184" l="1"/>
  <c r="F184" l="1"/>
  <c r="A185"/>
  <c r="B185"/>
  <c r="C185" s="1"/>
  <c r="D185" l="1"/>
  <c r="E185" s="1"/>
  <c r="F185" l="1"/>
  <c r="A186"/>
  <c r="D186" s="1"/>
  <c r="B186"/>
  <c r="C186" s="1"/>
  <c r="E186" l="1"/>
  <c r="A187" l="1"/>
  <c r="B187"/>
  <c r="C187" s="1"/>
  <c r="F186"/>
  <c r="D187" l="1"/>
  <c r="E187" s="1"/>
  <c r="B188" l="1"/>
  <c r="C188" s="1"/>
  <c r="A188"/>
  <c r="F187"/>
  <c r="D188" l="1"/>
  <c r="E188" s="1"/>
  <c r="F188" l="1"/>
  <c r="B189"/>
  <c r="C189" s="1"/>
  <c r="A189"/>
  <c r="D189" s="1"/>
  <c r="E189" l="1"/>
  <c r="A190" l="1"/>
  <c r="D190" s="1"/>
  <c r="F189"/>
  <c r="B190"/>
  <c r="C190" s="1"/>
  <c r="E190" l="1"/>
  <c r="F190" l="1"/>
  <c r="B191"/>
  <c r="C191" s="1"/>
  <c r="A191"/>
  <c r="D191" s="1"/>
  <c r="E191" l="1"/>
  <c r="B192" l="1"/>
  <c r="C192" s="1"/>
  <c r="F191"/>
  <c r="A192"/>
  <c r="D192" s="1"/>
  <c r="E192" l="1"/>
  <c r="A193" l="1"/>
  <c r="F192"/>
  <c r="B193"/>
  <c r="C193" s="1"/>
  <c r="D193" l="1"/>
  <c r="E193" s="1"/>
  <c r="A194" l="1"/>
  <c r="D194" s="1"/>
  <c r="B194"/>
  <c r="C194" s="1"/>
  <c r="F193"/>
  <c r="E194" l="1"/>
  <c r="B195" l="1"/>
  <c r="C195" s="1"/>
  <c r="F194"/>
  <c r="A195"/>
  <c r="D195" s="1"/>
  <c r="E195" l="1"/>
  <c r="B196" l="1"/>
  <c r="C196" s="1"/>
  <c r="F195"/>
  <c r="A196"/>
  <c r="D196" s="1"/>
  <c r="E196" l="1"/>
  <c r="A197" l="1"/>
  <c r="F196"/>
  <c r="B197"/>
  <c r="C197" s="1"/>
  <c r="D197" l="1"/>
  <c r="E197" s="1"/>
  <c r="A198" l="1"/>
  <c r="D198" s="1"/>
  <c r="F197"/>
  <c r="B198"/>
  <c r="C198" s="1"/>
  <c r="E198" l="1"/>
  <c r="F198" l="1"/>
  <c r="B199"/>
  <c r="C199" s="1"/>
  <c r="A199"/>
  <c r="D199" s="1"/>
  <c r="E199" l="1"/>
  <c r="F199" l="1"/>
  <c r="B200"/>
  <c r="C200" s="1"/>
  <c r="A200"/>
  <c r="D200" s="1"/>
  <c r="E200" l="1"/>
  <c r="B201" l="1"/>
  <c r="C201" s="1"/>
  <c r="F200"/>
  <c r="A201"/>
  <c r="D201" s="1"/>
  <c r="E201" l="1"/>
  <c r="F201" l="1"/>
  <c r="B202"/>
  <c r="C202" s="1"/>
  <c r="A202"/>
  <c r="D202" l="1"/>
  <c r="E202" s="1"/>
  <c r="B203" l="1"/>
  <c r="C203" s="1"/>
  <c r="A203"/>
  <c r="D203" s="1"/>
  <c r="F202"/>
  <c r="E203" l="1"/>
  <c r="F203" l="1"/>
  <c r="A204"/>
  <c r="D204" s="1"/>
  <c r="B204"/>
  <c r="C204" s="1"/>
  <c r="E204" l="1"/>
  <c r="F204" l="1"/>
  <c r="A205"/>
  <c r="D205" s="1"/>
  <c r="B205"/>
  <c r="C205" s="1"/>
  <c r="E205" l="1"/>
  <c r="B206" l="1"/>
  <c r="C206" s="1"/>
  <c r="F205"/>
  <c r="A206"/>
  <c r="D206" s="1"/>
  <c r="E206" l="1"/>
  <c r="F206" l="1"/>
  <c r="A207"/>
  <c r="B207"/>
  <c r="C207" s="1"/>
  <c r="D207" l="1"/>
  <c r="E207" s="1"/>
  <c r="F207" l="1"/>
  <c r="A208"/>
  <c r="D208" s="1"/>
  <c r="B208"/>
  <c r="C208" s="1"/>
  <c r="E208" l="1"/>
  <c r="F208" l="1"/>
  <c r="A209"/>
  <c r="D209" s="1"/>
  <c r="B209"/>
  <c r="C209" s="1"/>
  <c r="E209" l="1"/>
  <c r="A210" l="1"/>
  <c r="F209"/>
  <c r="B210"/>
  <c r="C210" s="1"/>
  <c r="D210" l="1"/>
  <c r="E210" s="1"/>
  <c r="A211" l="1"/>
  <c r="B211"/>
  <c r="C211" s="1"/>
  <c r="F210"/>
  <c r="D211" l="1"/>
  <c r="E211" s="1"/>
  <c r="F211" l="1"/>
  <c r="B212"/>
  <c r="C212" s="1"/>
  <c r="A212"/>
  <c r="D212" l="1"/>
  <c r="E212" s="1"/>
  <c r="F212" l="1"/>
  <c r="A213"/>
  <c r="D213" s="1"/>
  <c r="B213"/>
  <c r="C213" s="1"/>
  <c r="E213" l="1"/>
  <c r="F213" l="1"/>
  <c r="B214"/>
  <c r="C214" s="1"/>
  <c r="A214"/>
  <c r="D214" l="1"/>
  <c r="E214" s="1"/>
  <c r="A215" l="1"/>
  <c r="D215" s="1"/>
  <c r="B215"/>
  <c r="C215" s="1"/>
  <c r="F214"/>
  <c r="E215" l="1"/>
  <c r="B216" l="1"/>
  <c r="C216" s="1"/>
  <c r="A216"/>
  <c r="D216" s="1"/>
  <c r="F215"/>
  <c r="E216" l="1"/>
  <c r="F216" l="1"/>
  <c r="A217"/>
  <c r="B217"/>
  <c r="C217" s="1"/>
  <c r="D217" l="1"/>
  <c r="E217" s="1"/>
  <c r="F217" l="1"/>
  <c r="B218"/>
  <c r="C218" s="1"/>
  <c r="A218"/>
  <c r="D218" l="1"/>
  <c r="E218" s="1"/>
  <c r="A219" l="1"/>
  <c r="D219" s="1"/>
  <c r="F218"/>
  <c r="B219"/>
  <c r="C219" s="1"/>
  <c r="E219" l="1"/>
  <c r="F219" l="1"/>
  <c r="B220"/>
  <c r="C220" s="1"/>
  <c r="A220"/>
  <c r="D220" s="1"/>
  <c r="E220" l="1"/>
  <c r="F220" l="1"/>
  <c r="A221"/>
  <c r="D221" s="1"/>
  <c r="B221"/>
  <c r="C221" s="1"/>
  <c r="E221" l="1"/>
  <c r="A222" l="1"/>
  <c r="B222"/>
  <c r="C222" s="1"/>
  <c r="F221"/>
  <c r="D222" l="1"/>
  <c r="E222" s="1"/>
  <c r="F222" l="1"/>
  <c r="B223"/>
  <c r="C223" s="1"/>
  <c r="A223"/>
  <c r="D223" s="1"/>
  <c r="E223" l="1"/>
  <c r="B224" l="1"/>
  <c r="C224" s="1"/>
  <c r="F223"/>
  <c r="A224"/>
  <c r="D224" s="1"/>
  <c r="E224" l="1"/>
  <c r="A225" l="1"/>
  <c r="D225" s="1"/>
  <c r="F224"/>
  <c r="B225"/>
  <c r="C225" s="1"/>
  <c r="E225" l="1"/>
  <c r="F225" l="1"/>
  <c r="B226"/>
  <c r="C226" s="1"/>
  <c r="A226"/>
  <c r="D226" s="1"/>
  <c r="E226" l="1"/>
  <c r="F226" l="1"/>
  <c r="B227"/>
  <c r="C227" s="1"/>
  <c r="A227"/>
  <c r="D227" s="1"/>
  <c r="E227" l="1"/>
  <c r="B228" l="1"/>
  <c r="C228" s="1"/>
  <c r="A228"/>
  <c r="F227"/>
  <c r="D228" l="1"/>
  <c r="E228" s="1"/>
  <c r="A229" l="1"/>
  <c r="B229"/>
  <c r="C229" s="1"/>
  <c r="F228"/>
  <c r="D229" l="1"/>
  <c r="E229" s="1"/>
  <c r="F229" l="1"/>
  <c r="B230"/>
  <c r="C230" s="1"/>
  <c r="A230"/>
  <c r="D230" s="1"/>
  <c r="E230" l="1"/>
  <c r="F230" l="1"/>
  <c r="B231"/>
  <c r="C231" s="1"/>
  <c r="A231"/>
  <c r="D231" s="1"/>
  <c r="E231" l="1"/>
  <c r="F231" l="1"/>
  <c r="B232"/>
  <c r="C232" s="1"/>
  <c r="A232"/>
  <c r="D232" s="1"/>
  <c r="E232" l="1"/>
  <c r="F232" l="1"/>
  <c r="B233"/>
  <c r="C233" s="1"/>
  <c r="A233"/>
  <c r="D233" s="1"/>
  <c r="E233" l="1"/>
  <c r="A234" l="1"/>
  <c r="D234" s="1"/>
  <c r="B234"/>
  <c r="C234" s="1"/>
  <c r="F233"/>
  <c r="E234" l="1"/>
  <c r="F234" l="1"/>
  <c r="A235"/>
  <c r="D235" s="1"/>
  <c r="B235"/>
  <c r="C235" s="1"/>
  <c r="E235" l="1"/>
  <c r="F235" l="1"/>
  <c r="B236"/>
  <c r="C236" s="1"/>
  <c r="A236"/>
  <c r="D236" l="1"/>
  <c r="E236" s="1"/>
  <c r="A237" l="1"/>
  <c r="B237"/>
  <c r="C237" s="1"/>
  <c r="F236"/>
  <c r="D237" l="1"/>
  <c r="E237" s="1"/>
  <c r="A238" l="1"/>
  <c r="F237"/>
  <c r="B238"/>
  <c r="C238" s="1"/>
  <c r="D238" l="1"/>
  <c r="E238" s="1"/>
  <c r="B239" l="1"/>
  <c r="C239" s="1"/>
  <c r="A239"/>
  <c r="D239" s="1"/>
  <c r="F238"/>
  <c r="E239" l="1"/>
  <c r="F239" l="1"/>
  <c r="A240"/>
  <c r="B240"/>
  <c r="C240" s="1"/>
  <c r="D240" l="1"/>
  <c r="E240" s="1"/>
  <c r="F240" l="1"/>
  <c r="B241"/>
  <c r="C241" s="1"/>
  <c r="A241"/>
  <c r="D241" l="1"/>
  <c r="E241" s="1"/>
  <c r="A242" s="1"/>
  <c r="F241" l="1"/>
  <c r="B242"/>
  <c r="C242" s="1"/>
  <c r="D242"/>
  <c r="E242" l="1"/>
  <c r="F242" s="1"/>
  <c r="A243" l="1"/>
  <c r="D243" s="1"/>
  <c r="B243"/>
  <c r="C243" s="1"/>
  <c r="E243" l="1"/>
  <c r="B244" s="1"/>
  <c r="C244" s="1"/>
  <c r="A244" l="1"/>
  <c r="D244" s="1"/>
  <c r="F243"/>
  <c r="E244" l="1"/>
  <c r="F244" s="1"/>
  <c r="B245" l="1"/>
  <c r="C245" s="1"/>
  <c r="A245"/>
  <c r="D245" s="1"/>
  <c r="E245" l="1"/>
  <c r="A246" s="1"/>
  <c r="F245" l="1"/>
  <c r="B246"/>
  <c r="C246" s="1"/>
  <c r="D246"/>
  <c r="E246" l="1"/>
  <c r="A247" s="1"/>
  <c r="D247" s="1"/>
  <c r="B247" l="1"/>
  <c r="C247" s="1"/>
  <c r="E247" s="1"/>
  <c r="F247" s="1"/>
  <c r="F246"/>
  <c r="A248" l="1"/>
  <c r="D248" s="1"/>
  <c r="B248"/>
  <c r="C248" s="1"/>
  <c r="E248" l="1"/>
  <c r="A249" l="1"/>
  <c r="D249" s="1"/>
  <c r="B249"/>
  <c r="C249" s="1"/>
  <c r="F248"/>
  <c r="E249" l="1"/>
  <c r="B250" s="1"/>
  <c r="C250" l="1"/>
  <c r="F249"/>
  <c r="A250"/>
  <c r="D250" s="1"/>
  <c r="E250" l="1"/>
  <c r="A251" l="1"/>
  <c r="D251" s="1"/>
  <c r="F250"/>
  <c r="B251"/>
  <c r="C251" s="1"/>
  <c r="E251" l="1"/>
  <c r="B252" l="1"/>
  <c r="C252" s="1"/>
  <c r="A252"/>
  <c r="D252" s="1"/>
  <c r="F251"/>
  <c r="E252" l="1"/>
  <c r="A253" l="1"/>
  <c r="D253" s="1"/>
  <c r="B253"/>
  <c r="C253" s="1"/>
  <c r="F252"/>
  <c r="E253" l="1"/>
  <c r="F253" l="1"/>
  <c r="A254"/>
  <c r="D254" s="1"/>
  <c r="B254"/>
  <c r="C254" s="1"/>
  <c r="E254" l="1"/>
  <c r="B255" l="1"/>
  <c r="C255" s="1"/>
  <c r="F254"/>
  <c r="A255"/>
  <c r="D255" l="1"/>
  <c r="E255" s="1"/>
  <c r="B256" l="1"/>
  <c r="C256" s="1"/>
  <c r="A256"/>
  <c r="D256" s="1"/>
  <c r="F255"/>
  <c r="E256" l="1"/>
  <c r="B257" l="1"/>
  <c r="C257" s="1"/>
  <c r="F256"/>
  <c r="A257"/>
  <c r="D257" s="1"/>
  <c r="E257" l="1"/>
  <c r="B258" l="1"/>
  <c r="C258" s="1"/>
  <c r="A258"/>
  <c r="F257"/>
  <c r="D258" l="1"/>
  <c r="E258" s="1"/>
  <c r="F258" l="1"/>
  <c r="A259"/>
  <c r="D259" s="1"/>
  <c r="B259"/>
  <c r="C259" s="1"/>
  <c r="E259" l="1"/>
  <c r="B260" l="1"/>
  <c r="C260" s="1"/>
  <c r="A260"/>
  <c r="D260" s="1"/>
  <c r="F259"/>
  <c r="E260" l="1"/>
  <c r="A261" l="1"/>
  <c r="F260"/>
  <c r="B261"/>
  <c r="C261" s="1"/>
  <c r="D261" l="1"/>
  <c r="E261" s="1"/>
  <c r="F261" l="1"/>
  <c r="A262"/>
  <c r="D262" s="1"/>
  <c r="B262"/>
  <c r="C262" s="1"/>
  <c r="E262" l="1"/>
  <c r="F262" l="1"/>
  <c r="B263"/>
  <c r="C263" s="1"/>
  <c r="A263"/>
  <c r="D263" s="1"/>
  <c r="E263" l="1"/>
  <c r="A264" l="1"/>
  <c r="B264"/>
  <c r="C264" s="1"/>
  <c r="F263"/>
  <c r="D264" l="1"/>
  <c r="E264" s="1"/>
  <c r="F264" l="1"/>
  <c r="B265"/>
  <c r="C265" s="1"/>
  <c r="A265"/>
  <c r="D265" l="1"/>
  <c r="E265" s="1"/>
  <c r="A266" l="1"/>
  <c r="B266"/>
  <c r="C266" s="1"/>
  <c r="F265"/>
  <c r="D266" l="1"/>
  <c r="E266" s="1"/>
  <c r="F266" l="1"/>
  <c r="A267"/>
  <c r="D267" s="1"/>
  <c r="B267"/>
  <c r="C267" s="1"/>
  <c r="E267" l="1"/>
  <c r="A268" l="1"/>
  <c r="B268"/>
  <c r="C268" s="1"/>
  <c r="F267"/>
  <c r="D268" l="1"/>
  <c r="E268" s="1"/>
  <c r="F268" l="1"/>
  <c r="A269"/>
  <c r="D269" s="1"/>
  <c r="B269"/>
  <c r="C269" s="1"/>
  <c r="E269" l="1"/>
  <c r="F269" l="1"/>
  <c r="A270"/>
  <c r="B270"/>
  <c r="C270" s="1"/>
  <c r="D270" l="1"/>
  <c r="E270" s="1"/>
  <c r="A271" l="1"/>
  <c r="D271" s="1"/>
  <c r="F270"/>
  <c r="B271"/>
  <c r="C271" s="1"/>
  <c r="E271" l="1"/>
  <c r="A272" l="1"/>
  <c r="D272" s="1"/>
  <c r="F271"/>
  <c r="B272"/>
  <c r="C272" s="1"/>
  <c r="E272" l="1"/>
  <c r="F272" l="1"/>
  <c r="A273"/>
  <c r="D273" s="1"/>
  <c r="B273"/>
  <c r="C273" s="1"/>
  <c r="E273" l="1"/>
  <c r="B274" l="1"/>
  <c r="C274" s="1"/>
  <c r="A274"/>
  <c r="D274" s="1"/>
  <c r="F273"/>
  <c r="E274" l="1"/>
  <c r="A275" l="1"/>
  <c r="D275" s="1"/>
  <c r="F274"/>
  <c r="B275"/>
  <c r="C275" s="1"/>
  <c r="E275" l="1"/>
  <c r="A276" l="1"/>
  <c r="B276"/>
  <c r="C276" s="1"/>
  <c r="F275"/>
  <c r="D276" l="1"/>
  <c r="E276" s="1"/>
  <c r="A277" l="1"/>
  <c r="F276"/>
  <c r="B277"/>
  <c r="C277" s="1"/>
  <c r="D277" l="1"/>
  <c r="E277" s="1"/>
  <c r="B278" l="1"/>
  <c r="C278" s="1"/>
  <c r="F277"/>
  <c r="A278"/>
  <c r="D278" s="1"/>
  <c r="E278" l="1"/>
  <c r="F278" l="1"/>
  <c r="B279"/>
  <c r="C279" s="1"/>
  <c r="A279"/>
  <c r="D279" l="1"/>
  <c r="E279" s="1"/>
  <c r="A280" l="1"/>
  <c r="B280"/>
  <c r="C280" s="1"/>
  <c r="F279"/>
  <c r="D280" l="1"/>
  <c r="E280" s="1"/>
  <c r="F280" l="1"/>
  <c r="B281"/>
  <c r="C281" s="1"/>
  <c r="A281"/>
  <c r="D281" s="1"/>
  <c r="E281" l="1"/>
  <c r="B282" l="1"/>
  <c r="C282" s="1"/>
  <c r="A282"/>
  <c r="D282" s="1"/>
  <c r="F281"/>
  <c r="E282" l="1"/>
  <c r="F282" l="1"/>
  <c r="A283"/>
  <c r="D283" s="1"/>
  <c r="B283"/>
  <c r="C283" s="1"/>
  <c r="E283" l="1"/>
  <c r="B284" l="1"/>
  <c r="C284" s="1"/>
  <c r="A284"/>
  <c r="F283"/>
  <c r="D284" l="1"/>
  <c r="E284" s="1"/>
  <c r="A285" l="1"/>
  <c r="F284"/>
  <c r="B285"/>
  <c r="C285" s="1"/>
  <c r="D285" l="1"/>
  <c r="E285" s="1"/>
  <c r="B286" l="1"/>
  <c r="C286" s="1"/>
  <c r="F285"/>
  <c r="A286"/>
  <c r="D286" s="1"/>
  <c r="E286" l="1"/>
  <c r="B287" l="1"/>
  <c r="C287" s="1"/>
  <c r="F286"/>
  <c r="A287"/>
  <c r="D287" s="1"/>
  <c r="E287" l="1"/>
  <c r="A288" l="1"/>
  <c r="B288"/>
  <c r="C288" s="1"/>
  <c r="F287"/>
  <c r="D288" l="1"/>
  <c r="E288" s="1"/>
  <c r="F288" l="1"/>
  <c r="B289"/>
  <c r="C289" s="1"/>
  <c r="A289"/>
  <c r="D289" l="1"/>
  <c r="E289" s="1"/>
  <c r="A290" l="1"/>
  <c r="B290"/>
  <c r="C290" s="1"/>
  <c r="F289"/>
  <c r="D290" l="1"/>
  <c r="E290" s="1"/>
  <c r="A291" l="1"/>
  <c r="B291"/>
  <c r="C291" s="1"/>
  <c r="F290"/>
  <c r="D291" l="1"/>
  <c r="E291" s="1"/>
  <c r="B292" l="1"/>
  <c r="C292" s="1"/>
  <c r="A292"/>
  <c r="D292" s="1"/>
  <c r="F291"/>
  <c r="E292" l="1"/>
  <c r="F292" l="1"/>
  <c r="B293"/>
  <c r="C293" s="1"/>
  <c r="A293"/>
  <c r="D293" s="1"/>
  <c r="E293" l="1"/>
  <c r="F293" l="1"/>
  <c r="A294"/>
  <c r="D294" s="1"/>
  <c r="B294"/>
  <c r="C294" s="1"/>
  <c r="E294" l="1"/>
  <c r="B295" l="1"/>
  <c r="C295" s="1"/>
  <c r="A295"/>
  <c r="D295" s="1"/>
  <c r="F294"/>
  <c r="E295" l="1"/>
  <c r="F295" l="1"/>
  <c r="A296"/>
  <c r="D296" s="1"/>
  <c r="B296"/>
  <c r="C296" s="1"/>
  <c r="E296" l="1"/>
  <c r="F296" l="1"/>
  <c r="B297"/>
  <c r="C297" s="1"/>
  <c r="A297"/>
  <c r="D297" s="1"/>
  <c r="E297" l="1"/>
  <c r="F297" l="1"/>
  <c r="A298"/>
  <c r="B298"/>
  <c r="C298" s="1"/>
  <c r="D298" l="1"/>
  <c r="E298" s="1"/>
  <c r="F298" l="1"/>
  <c r="B299"/>
  <c r="C299" s="1"/>
  <c r="A299"/>
  <c r="D299" s="1"/>
  <c r="E299" l="1"/>
  <c r="F299" l="1"/>
  <c r="A300"/>
  <c r="D300" s="1"/>
  <c r="B300"/>
  <c r="C300" s="1"/>
  <c r="E300" l="1"/>
  <c r="B301" l="1"/>
  <c r="C301" s="1"/>
  <c r="A301"/>
  <c r="F300"/>
  <c r="D301" l="1"/>
  <c r="E301" s="1"/>
  <c r="A302" l="1"/>
  <c r="B302"/>
  <c r="C302" s="1"/>
  <c r="F301"/>
  <c r="D302" l="1"/>
  <c r="E302" s="1"/>
  <c r="B303" l="1"/>
  <c r="C303" s="1"/>
  <c r="F302"/>
  <c r="A303"/>
  <c r="D303" s="1"/>
  <c r="E303" l="1"/>
  <c r="A304" l="1"/>
  <c r="F303"/>
  <c r="B304"/>
  <c r="C304" s="1"/>
  <c r="D304" l="1"/>
  <c r="E304" s="1"/>
  <c r="A305" l="1"/>
  <c r="D305" s="1"/>
  <c r="B305"/>
  <c r="C305" s="1"/>
  <c r="F304"/>
  <c r="E305" l="1"/>
  <c r="B306" l="1"/>
  <c r="C306" s="1"/>
  <c r="A306"/>
  <c r="D306" s="1"/>
  <c r="F305"/>
  <c r="E306" l="1"/>
  <c r="F306" l="1"/>
  <c r="A307"/>
  <c r="B307"/>
  <c r="C307" s="1"/>
  <c r="D307" l="1"/>
  <c r="E307" s="1"/>
  <c r="B308" l="1"/>
  <c r="C308" s="1"/>
  <c r="F307"/>
  <c r="A308"/>
  <c r="D308" s="1"/>
  <c r="E308" l="1"/>
  <c r="F308" l="1"/>
  <c r="A309"/>
  <c r="D309" s="1"/>
  <c r="B309"/>
  <c r="C309" s="1"/>
  <c r="E309" l="1"/>
  <c r="A310" l="1"/>
  <c r="D310" s="1"/>
  <c r="F309"/>
  <c r="B310"/>
  <c r="C310" s="1"/>
  <c r="E310" l="1"/>
  <c r="F310" l="1"/>
  <c r="B311"/>
  <c r="C311" s="1"/>
  <c r="A311"/>
  <c r="D311" s="1"/>
  <c r="E311" l="1"/>
  <c r="A312" l="1"/>
  <c r="F311"/>
  <c r="B312"/>
  <c r="C312" s="1"/>
  <c r="D312" l="1"/>
  <c r="E312" s="1"/>
  <c r="F312" l="1"/>
  <c r="A313"/>
  <c r="D313" s="1"/>
  <c r="B313"/>
  <c r="C313" s="1"/>
  <c r="E313" l="1"/>
  <c r="F313" l="1"/>
  <c r="A314"/>
  <c r="D314" s="1"/>
  <c r="B314"/>
  <c r="C314" s="1"/>
  <c r="E314" l="1"/>
  <c r="B315" l="1"/>
  <c r="C315" s="1"/>
  <c r="F314"/>
  <c r="A315"/>
  <c r="D315" s="1"/>
  <c r="E315" l="1"/>
  <c r="B316" l="1"/>
  <c r="C316" s="1"/>
  <c r="F315"/>
  <c r="A316"/>
  <c r="D316" l="1"/>
  <c r="E316" s="1"/>
  <c r="B317" l="1"/>
  <c r="C317" s="1"/>
  <c r="F316"/>
  <c r="A317"/>
  <c r="D317" s="1"/>
  <c r="E317" l="1"/>
  <c r="F317" l="1"/>
  <c r="A318"/>
  <c r="D318" s="1"/>
  <c r="B318"/>
  <c r="C318" s="1"/>
  <c r="E318" l="1"/>
  <c r="B319" l="1"/>
  <c r="C319" s="1"/>
  <c r="F318"/>
  <c r="A319"/>
  <c r="D319" s="1"/>
  <c r="E319" l="1"/>
  <c r="F319" l="1"/>
  <c r="B320"/>
  <c r="C320" s="1"/>
  <c r="A320"/>
  <c r="D320" l="1"/>
  <c r="E320" s="1"/>
  <c r="B321" l="1"/>
  <c r="C321" s="1"/>
  <c r="F320"/>
  <c r="A321"/>
  <c r="D321" s="1"/>
  <c r="E321" l="1"/>
  <c r="A322" l="1"/>
  <c r="D322" s="1"/>
  <c r="F321"/>
  <c r="B322"/>
  <c r="C322" s="1"/>
  <c r="E322" l="1"/>
  <c r="A323" l="1"/>
  <c r="F322"/>
  <c r="B323"/>
  <c r="C323" s="1"/>
  <c r="D323" l="1"/>
  <c r="E323" s="1"/>
  <c r="A324" l="1"/>
  <c r="F323"/>
  <c r="B324"/>
  <c r="C324" s="1"/>
  <c r="D324" l="1"/>
  <c r="E324" s="1"/>
  <c r="A325" s="1"/>
  <c r="F324" l="1"/>
  <c r="B325"/>
  <c r="C325" s="1"/>
  <c r="D325"/>
  <c r="E325" l="1"/>
  <c r="B326" s="1"/>
  <c r="C326" s="1"/>
  <c r="F325" l="1"/>
  <c r="A326"/>
  <c r="D326" s="1"/>
  <c r="E326" l="1"/>
  <c r="B327" s="1"/>
  <c r="C327" s="1"/>
  <c r="F326" l="1"/>
  <c r="A327"/>
  <c r="D327" s="1"/>
  <c r="E327" l="1"/>
  <c r="A328" s="1"/>
  <c r="F327" l="1"/>
  <c r="B328"/>
  <c r="C328" s="1"/>
  <c r="D328"/>
  <c r="E328" l="1"/>
  <c r="B329" s="1"/>
  <c r="C329" s="1"/>
  <c r="F328" l="1"/>
  <c r="A329"/>
  <c r="D329" s="1"/>
  <c r="E329" s="1"/>
  <c r="F329" l="1"/>
  <c r="B330"/>
  <c r="C330" s="1"/>
  <c r="A330"/>
  <c r="D330" l="1"/>
  <c r="E330" s="1"/>
  <c r="A331" l="1"/>
  <c r="D331" s="1"/>
  <c r="B331"/>
  <c r="C331" s="1"/>
  <c r="F330"/>
  <c r="E331" l="1"/>
  <c r="B332" l="1"/>
  <c r="C332" s="1"/>
  <c r="A332"/>
  <c r="F331"/>
  <c r="D332" l="1"/>
  <c r="E332" s="1"/>
  <c r="B333" l="1"/>
  <c r="C333" s="1"/>
  <c r="F332"/>
  <c r="A333"/>
  <c r="D333" l="1"/>
  <c r="E333" s="1"/>
  <c r="F333" l="1"/>
  <c r="A334"/>
  <c r="D334" s="1"/>
  <c r="B334"/>
  <c r="C334" s="1"/>
  <c r="E334" l="1"/>
  <c r="F334" l="1"/>
  <c r="B335"/>
  <c r="C335" s="1"/>
  <c r="A335"/>
  <c r="D335" l="1"/>
  <c r="E335" s="1"/>
  <c r="A336" s="1"/>
  <c r="B336" l="1"/>
  <c r="C336" s="1"/>
  <c r="D336"/>
  <c r="F335"/>
  <c r="E336" l="1"/>
  <c r="B337" s="1"/>
  <c r="C337" s="1"/>
  <c r="F336" l="1"/>
  <c r="A337"/>
  <c r="D337" s="1"/>
  <c r="E337" s="1"/>
  <c r="A338" l="1"/>
  <c r="F337"/>
  <c r="B338"/>
  <c r="C338" s="1"/>
  <c r="D338" l="1"/>
  <c r="E338" s="1"/>
  <c r="A339" s="1"/>
  <c r="F338" l="1"/>
  <c r="B339"/>
  <c r="C339" s="1"/>
  <c r="D339"/>
  <c r="E339" l="1"/>
  <c r="B340" s="1"/>
  <c r="C340" s="1"/>
  <c r="F339" l="1"/>
  <c r="A340"/>
  <c r="D340" s="1"/>
  <c r="E340" l="1"/>
  <c r="F340" s="1"/>
  <c r="A341" l="1"/>
  <c r="D341" s="1"/>
  <c r="B341"/>
  <c r="C341" s="1"/>
  <c r="E341" l="1"/>
  <c r="B342" s="1"/>
  <c r="C342" s="1"/>
  <c r="A342" l="1"/>
  <c r="D342" s="1"/>
  <c r="E342" s="1"/>
  <c r="F341"/>
  <c r="B343" l="1"/>
  <c r="C343" s="1"/>
  <c r="A343"/>
  <c r="D343" s="1"/>
  <c r="F342"/>
  <c r="E343" l="1"/>
  <c r="A344" l="1"/>
  <c r="F343"/>
  <c r="B344"/>
  <c r="C344" s="1"/>
  <c r="D344" l="1"/>
  <c r="E344" s="1"/>
  <c r="F344" l="1"/>
  <c r="B345"/>
  <c r="C345" s="1"/>
  <c r="A345"/>
  <c r="D345" l="1"/>
  <c r="E345" s="1"/>
  <c r="F345" l="1"/>
  <c r="A346"/>
  <c r="D346" s="1"/>
  <c r="B346"/>
  <c r="C346" s="1"/>
  <c r="E346" l="1"/>
  <c r="F346" l="1"/>
  <c r="B347"/>
  <c r="C347" s="1"/>
  <c r="A347"/>
  <c r="D347" l="1"/>
  <c r="E347" s="1"/>
  <c r="F347" l="1"/>
  <c r="B348"/>
  <c r="C348" s="1"/>
  <c r="A348"/>
  <c r="D348" l="1"/>
  <c r="E348" s="1"/>
  <c r="B349" l="1"/>
  <c r="C349" s="1"/>
  <c r="F348"/>
  <c r="A349"/>
  <c r="D349" l="1"/>
  <c r="E349" s="1"/>
  <c r="A350" l="1"/>
  <c r="D350" s="1"/>
  <c r="B350"/>
  <c r="C350" s="1"/>
  <c r="F349"/>
  <c r="E350" l="1"/>
  <c r="A351" l="1"/>
  <c r="F350"/>
  <c r="B351"/>
  <c r="C351" s="1"/>
  <c r="D351" l="1"/>
  <c r="E351" s="1"/>
  <c r="F351" l="1"/>
  <c r="A352"/>
  <c r="D352" s="1"/>
  <c r="B352"/>
  <c r="C352" s="1"/>
  <c r="E352" l="1"/>
  <c r="B353" l="1"/>
  <c r="C353" s="1"/>
  <c r="A353"/>
  <c r="D353" s="1"/>
  <c r="F352"/>
  <c r="E353" l="1"/>
  <c r="F353" l="1"/>
  <c r="A354"/>
  <c r="B354"/>
  <c r="C354" s="1"/>
  <c r="D354" l="1"/>
  <c r="E354" s="1"/>
  <c r="B355" l="1"/>
  <c r="C355" s="1"/>
  <c r="A355"/>
  <c r="D355" s="1"/>
  <c r="F354"/>
  <c r="E355" l="1"/>
  <c r="A356" l="1"/>
  <c r="D356" s="1"/>
  <c r="B356"/>
  <c r="C356" s="1"/>
  <c r="F355"/>
  <c r="E356" l="1"/>
  <c r="A357" l="1"/>
  <c r="D357" s="1"/>
  <c r="B357"/>
  <c r="C357" s="1"/>
  <c r="F356"/>
  <c r="E357" l="1"/>
  <c r="A358" l="1"/>
  <c r="D358" s="1"/>
  <c r="B358"/>
  <c r="C358" s="1"/>
  <c r="F357"/>
  <c r="E358" l="1"/>
  <c r="F358" l="1"/>
  <c r="B359"/>
  <c r="C359" s="1"/>
  <c r="A359"/>
  <c r="D359" s="1"/>
  <c r="E359" l="1"/>
  <c r="F359" l="1"/>
  <c r="B360"/>
  <c r="C360" s="1"/>
  <c r="A360"/>
  <c r="D360" s="1"/>
  <c r="E360" l="1"/>
  <c r="F360" l="1"/>
  <c r="B361"/>
  <c r="C361" s="1"/>
  <c r="A361"/>
  <c r="D361" s="1"/>
  <c r="E361" l="1"/>
  <c r="F361" l="1"/>
  <c r="A362"/>
  <c r="B362"/>
  <c r="C362" s="1"/>
  <c r="D362" l="1"/>
  <c r="E362" s="1"/>
  <c r="A363" l="1"/>
  <c r="B363"/>
  <c r="C363" s="1"/>
  <c r="F362"/>
  <c r="D363" l="1"/>
  <c r="E363" s="1"/>
  <c r="A364" l="1"/>
  <c r="B364"/>
  <c r="C364" s="1"/>
  <c r="F363"/>
  <c r="D364" l="1"/>
  <c r="E364" s="1"/>
  <c r="F364" l="1"/>
  <c r="A365"/>
  <c r="D365" s="1"/>
  <c r="B365"/>
  <c r="C365" s="1"/>
  <c r="E365" l="1"/>
  <c r="F365" l="1"/>
  <c r="A366"/>
  <c r="D366" s="1"/>
  <c r="B366"/>
  <c r="C366" s="1"/>
  <c r="E366" l="1"/>
  <c r="B367" l="1"/>
  <c r="C367" s="1"/>
  <c r="F366"/>
  <c r="A367"/>
  <c r="D367" l="1"/>
  <c r="E367" s="1"/>
  <c r="A368" l="1"/>
  <c r="B368"/>
  <c r="C368" s="1"/>
  <c r="F367"/>
  <c r="D368" l="1"/>
  <c r="E368" s="1"/>
  <c r="B369" l="1"/>
  <c r="C369" s="1"/>
  <c r="A369"/>
  <c r="F368"/>
  <c r="D369" l="1"/>
  <c r="E369" s="1"/>
  <c r="F369" l="1"/>
  <c r="B370"/>
  <c r="C370" s="1"/>
  <c r="A370"/>
  <c r="D370" l="1"/>
  <c r="E370" s="1"/>
  <c r="B371" l="1"/>
  <c r="C371" s="1"/>
  <c r="A371"/>
  <c r="F370"/>
  <c r="D371" l="1"/>
  <c r="E371" s="1"/>
  <c r="F371" l="1"/>
  <c r="B372"/>
  <c r="C372" s="1"/>
  <c r="A372"/>
  <c r="D372" s="1"/>
  <c r="E372" l="1"/>
  <c r="B373" l="1"/>
  <c r="C373" s="1"/>
  <c r="A373"/>
  <c r="F372"/>
  <c r="D373" l="1"/>
  <c r="E373" s="1"/>
  <c r="B374" l="1"/>
  <c r="C374" s="1"/>
  <c r="A374"/>
  <c r="D374" s="1"/>
  <c r="F373"/>
  <c r="E374" l="1"/>
  <c r="B375" l="1"/>
  <c r="C375" s="1"/>
  <c r="F374"/>
  <c r="A375"/>
  <c r="D375" s="1"/>
  <c r="E375" l="1"/>
  <c r="B376" l="1"/>
  <c r="C376" s="1"/>
  <c r="F375"/>
  <c r="A376"/>
  <c r="D376" s="1"/>
  <c r="E376" l="1"/>
  <c r="F376" l="1"/>
  <c r="B377"/>
  <c r="C377" s="1"/>
  <c r="A377"/>
  <c r="D377" s="1"/>
  <c r="E377" l="1"/>
  <c r="B378" l="1"/>
  <c r="C378" s="1"/>
  <c r="A378"/>
  <c r="F377"/>
  <c r="D378" l="1"/>
  <c r="E378" s="1"/>
  <c r="A379" l="1"/>
  <c r="F378"/>
  <c r="B379"/>
  <c r="C379" s="1"/>
  <c r="D379" l="1"/>
  <c r="E379" s="1"/>
  <c r="B380" l="1"/>
  <c r="C380" s="1"/>
  <c r="A380"/>
  <c r="D380" s="1"/>
  <c r="F379"/>
  <c r="E380" l="1"/>
  <c r="B381" l="1"/>
  <c r="C381" s="1"/>
  <c r="A381"/>
  <c r="F380"/>
  <c r="D381" l="1"/>
  <c r="E381" s="1"/>
  <c r="A382" l="1"/>
  <c r="D382" s="1"/>
  <c r="B382"/>
  <c r="C382" s="1"/>
  <c r="F381"/>
  <c r="E382" l="1"/>
  <c r="A383" l="1"/>
  <c r="D383" s="1"/>
  <c r="F382"/>
  <c r="B383"/>
  <c r="C383" s="1"/>
  <c r="E383" l="1"/>
  <c r="F383" l="1"/>
  <c r="A384"/>
  <c r="D384" s="1"/>
  <c r="B384"/>
  <c r="C384" s="1"/>
  <c r="E384" l="1"/>
  <c r="A385" l="1"/>
  <c r="B385"/>
  <c r="C385" s="1"/>
  <c r="F384"/>
  <c r="D385" l="1"/>
  <c r="E385" s="1"/>
  <c r="A386" l="1"/>
  <c r="D386" s="1"/>
  <c r="F385"/>
  <c r="B386"/>
  <c r="C386" s="1"/>
  <c r="E386" l="1"/>
  <c r="A387" l="1"/>
  <c r="B387"/>
  <c r="C387" s="1"/>
  <c r="F386"/>
  <c r="D387" l="1"/>
  <c r="E387" s="1"/>
  <c r="F387" l="1"/>
  <c r="B388"/>
  <c r="C388" s="1"/>
  <c r="A388"/>
  <c r="D388" l="1"/>
  <c r="E388" s="1"/>
  <c r="A389" l="1"/>
  <c r="F388"/>
  <c r="B389"/>
  <c r="C389" s="1"/>
  <c r="D389" l="1"/>
  <c r="E389" s="1"/>
  <c r="F389" l="1"/>
  <c r="A390"/>
  <c r="D390" s="1"/>
  <c r="B390"/>
  <c r="C390" s="1"/>
  <c r="E390" l="1"/>
  <c r="A391" l="1"/>
  <c r="D391" s="1"/>
  <c r="F390"/>
  <c r="B391"/>
  <c r="C391" s="1"/>
  <c r="E391" l="1"/>
  <c r="A392" l="1"/>
  <c r="B392"/>
  <c r="C392" s="1"/>
  <c r="F391"/>
  <c r="D392" l="1"/>
  <c r="E392" s="1"/>
  <c r="A393" l="1"/>
  <c r="B393"/>
  <c r="C393" s="1"/>
  <c r="F392"/>
  <c r="D393" l="1"/>
  <c r="E393" s="1"/>
  <c r="F393" l="1"/>
  <c r="B394"/>
  <c r="C394" s="1"/>
  <c r="A394"/>
  <c r="D394" s="1"/>
  <c r="E394" l="1"/>
  <c r="A395" l="1"/>
  <c r="D395" s="1"/>
  <c r="F394"/>
  <c r="B395"/>
  <c r="C395" s="1"/>
  <c r="E395" l="1"/>
  <c r="B396" l="1"/>
  <c r="C396" s="1"/>
  <c r="A396"/>
  <c r="D396" s="1"/>
  <c r="F395"/>
  <c r="E396" l="1"/>
  <c r="F396" l="1"/>
  <c r="B397"/>
  <c r="C397" s="1"/>
  <c r="A397"/>
  <c r="D397" l="1"/>
  <c r="E397" s="1"/>
  <c r="F397" l="1"/>
  <c r="B398"/>
  <c r="C398" s="1"/>
  <c r="A398"/>
  <c r="D398" s="1"/>
  <c r="E398" l="1"/>
  <c r="B399" l="1"/>
  <c r="C399" s="1"/>
  <c r="A399"/>
  <c r="D399" s="1"/>
  <c r="F398"/>
  <c r="E399" l="1"/>
  <c r="A400" s="1"/>
  <c r="F399" l="1"/>
  <c r="B400"/>
  <c r="C400" s="1"/>
  <c r="D400"/>
  <c r="E400" l="1"/>
  <c r="A401" l="1"/>
  <c r="D401" s="1"/>
  <c r="F400"/>
  <c r="B401"/>
  <c r="C401" s="1"/>
  <c r="E401" l="1"/>
  <c r="A402" s="1"/>
  <c r="D402" s="1"/>
  <c r="B402" l="1"/>
  <c r="C402" s="1"/>
  <c r="E402" s="1"/>
  <c r="F401"/>
  <c r="A403" l="1"/>
  <c r="D403" s="1"/>
  <c r="F402"/>
  <c r="B403"/>
  <c r="C403" s="1"/>
  <c r="E403" l="1"/>
  <c r="A404" l="1"/>
  <c r="B404"/>
  <c r="C404" s="1"/>
  <c r="F403"/>
  <c r="D404" l="1"/>
  <c r="E404" s="1"/>
  <c r="A405" l="1"/>
  <c r="D405" s="1"/>
  <c r="F404"/>
  <c r="B405"/>
  <c r="C405" s="1"/>
  <c r="E405" l="1"/>
  <c r="F405" l="1"/>
  <c r="B406"/>
  <c r="C406" s="1"/>
  <c r="A406"/>
  <c r="D406" s="1"/>
  <c r="E406" l="1"/>
  <c r="A407" l="1"/>
  <c r="F406"/>
  <c r="B407"/>
  <c r="C407" s="1"/>
  <c r="D407" l="1"/>
  <c r="E407" s="1"/>
  <c r="B408" l="1"/>
  <c r="C408" s="1"/>
  <c r="F407"/>
  <c r="A408"/>
  <c r="D408" l="1"/>
  <c r="E408" s="1"/>
  <c r="A409" l="1"/>
  <c r="D409" s="1"/>
  <c r="F408"/>
  <c r="B409"/>
  <c r="C409" s="1"/>
  <c r="E409" l="1"/>
  <c r="A410" l="1"/>
  <c r="D410" s="1"/>
  <c r="B410"/>
  <c r="C410" s="1"/>
  <c r="F409"/>
  <c r="E410" l="1"/>
  <c r="B411" l="1"/>
  <c r="C411" s="1"/>
  <c r="A411"/>
  <c r="F410"/>
  <c r="D411" l="1"/>
  <c r="E411" s="1"/>
  <c r="B412" l="1"/>
  <c r="C412" s="1"/>
  <c r="F411"/>
  <c r="A412"/>
  <c r="D412" s="1"/>
  <c r="E412" l="1"/>
  <c r="F412" l="1"/>
  <c r="A413"/>
  <c r="D413" s="1"/>
  <c r="B413"/>
  <c r="C413" s="1"/>
  <c r="E413" l="1"/>
  <c r="F413" l="1"/>
  <c r="A414"/>
  <c r="B414"/>
  <c r="C414" s="1"/>
  <c r="D414" l="1"/>
  <c r="E414" s="1"/>
  <c r="A415" l="1"/>
  <c r="B415"/>
  <c r="C415" s="1"/>
  <c r="F414"/>
  <c r="D415" l="1"/>
  <c r="E415" s="1"/>
  <c r="A416" l="1"/>
  <c r="F415"/>
  <c r="B416"/>
  <c r="C416" s="1"/>
  <c r="D416" l="1"/>
  <c r="E416" s="1"/>
  <c r="A417" l="1"/>
  <c r="F416"/>
  <c r="B417"/>
  <c r="C417" s="1"/>
  <c r="D417" l="1"/>
  <c r="E417" s="1"/>
  <c r="B418" l="1"/>
  <c r="C418" s="1"/>
  <c r="A418"/>
  <c r="D418" s="1"/>
  <c r="F417"/>
  <c r="E418" l="1"/>
  <c r="B419" l="1"/>
  <c r="C419" s="1"/>
  <c r="F418"/>
  <c r="A419"/>
  <c r="D419" s="1"/>
  <c r="E419" l="1"/>
  <c r="F419" l="1"/>
  <c r="A420"/>
  <c r="D420" s="1"/>
  <c r="B420"/>
  <c r="C420" s="1"/>
  <c r="E420" l="1"/>
  <c r="F420" l="1"/>
  <c r="B421"/>
  <c r="C421" s="1"/>
  <c r="A421"/>
  <c r="D421" s="1"/>
  <c r="E421" l="1"/>
  <c r="F421" l="1"/>
  <c r="A422"/>
  <c r="D422" s="1"/>
  <c r="B422"/>
  <c r="C422" s="1"/>
  <c r="E422" l="1"/>
  <c r="F422" l="1"/>
  <c r="B423"/>
  <c r="C423" s="1"/>
  <c r="A423"/>
  <c r="D423" l="1"/>
  <c r="E423" s="1"/>
  <c r="A424" l="1"/>
  <c r="F423"/>
  <c r="B424"/>
  <c r="C424" s="1"/>
  <c r="D424" l="1"/>
  <c r="E424" s="1"/>
  <c r="B425" l="1"/>
  <c r="C425" s="1"/>
  <c r="F424"/>
  <c r="A425"/>
  <c r="D425" s="1"/>
  <c r="E425" l="1"/>
  <c r="F425" l="1"/>
  <c r="B426"/>
  <c r="C426" s="1"/>
  <c r="A426"/>
  <c r="D426" s="1"/>
  <c r="E426" l="1"/>
  <c r="F426" l="1"/>
  <c r="A427"/>
  <c r="D427" s="1"/>
  <c r="B427"/>
  <c r="C427" s="1"/>
  <c r="E427" l="1"/>
  <c r="F427" l="1"/>
  <c r="B428"/>
  <c r="C428" s="1"/>
  <c r="A428"/>
  <c r="D428" l="1"/>
  <c r="E428" s="1"/>
  <c r="A429" l="1"/>
  <c r="F428"/>
  <c r="B429"/>
  <c r="C429" s="1"/>
  <c r="D429" l="1"/>
  <c r="E429" s="1"/>
  <c r="B430" l="1"/>
  <c r="C430" s="1"/>
  <c r="F429"/>
  <c r="A430"/>
  <c r="D430" s="1"/>
  <c r="E430" l="1"/>
  <c r="B431" l="1"/>
  <c r="C431" s="1"/>
  <c r="A431"/>
  <c r="D431" s="1"/>
  <c r="F430"/>
  <c r="E431" l="1"/>
  <c r="B432" l="1"/>
  <c r="C432" s="1"/>
  <c r="A432"/>
  <c r="D432" s="1"/>
  <c r="F431"/>
  <c r="E432" l="1"/>
  <c r="A433" l="1"/>
  <c r="F432"/>
  <c r="B433"/>
  <c r="C433" s="1"/>
  <c r="D433" l="1"/>
  <c r="E433" s="1"/>
  <c r="B434" l="1"/>
  <c r="C434" s="1"/>
  <c r="F433"/>
  <c r="A434"/>
  <c r="D434" s="1"/>
  <c r="E434" l="1"/>
  <c r="A435" l="1"/>
  <c r="B435"/>
  <c r="C435" s="1"/>
  <c r="F434"/>
  <c r="D435" l="1"/>
  <c r="E435" s="1"/>
  <c r="B436" l="1"/>
  <c r="C436" s="1"/>
  <c r="A436"/>
  <c r="F435"/>
  <c r="D436" l="1"/>
  <c r="E436" s="1"/>
  <c r="F436" l="1"/>
  <c r="B437"/>
  <c r="C437" s="1"/>
  <c r="A437"/>
  <c r="D437" s="1"/>
  <c r="E437" l="1"/>
  <c r="A438" l="1"/>
  <c r="F437"/>
  <c r="B438"/>
  <c r="C438" s="1"/>
  <c r="D438" l="1"/>
  <c r="E438" s="1"/>
  <c r="B439" l="1"/>
  <c r="C439" s="1"/>
  <c r="F438"/>
  <c r="A439"/>
  <c r="D439" s="1"/>
  <c r="E439" l="1"/>
  <c r="A440" l="1"/>
  <c r="D440" s="1"/>
  <c r="F439"/>
  <c r="B440"/>
  <c r="C440" s="1"/>
  <c r="E440" l="1"/>
  <c r="B441" l="1"/>
  <c r="C441" s="1"/>
  <c r="A441"/>
  <c r="F440"/>
  <c r="D441" l="1"/>
  <c r="E441" s="1"/>
  <c r="B442" l="1"/>
  <c r="C442" s="1"/>
  <c r="A442"/>
  <c r="F441"/>
  <c r="D442" l="1"/>
  <c r="E442" s="1"/>
  <c r="F442" l="1"/>
  <c r="A443"/>
  <c r="D443" s="1"/>
  <c r="B443"/>
  <c r="C443" s="1"/>
  <c r="E443" l="1"/>
  <c r="F443" s="1"/>
  <c r="A444" l="1"/>
  <c r="D444" s="1"/>
  <c r="B444"/>
  <c r="C444" s="1"/>
  <c r="E444" l="1"/>
  <c r="F444" l="1"/>
  <c r="A445"/>
  <c r="B445"/>
  <c r="C445" s="1"/>
  <c r="D445" l="1"/>
  <c r="E445" s="1"/>
  <c r="A446" l="1"/>
  <c r="F445"/>
  <c r="B446"/>
  <c r="C446" s="1"/>
  <c r="D446" l="1"/>
  <c r="E446" s="1"/>
  <c r="F446" l="1"/>
  <c r="B447"/>
  <c r="C447" s="1"/>
  <c r="A447"/>
  <c r="D447" s="1"/>
  <c r="E447" l="1"/>
  <c r="F447" l="1"/>
  <c r="B448"/>
  <c r="C448" s="1"/>
  <c r="A448"/>
  <c r="D448" s="1"/>
  <c r="E448" l="1"/>
  <c r="A449" l="1"/>
  <c r="F448"/>
  <c r="B449"/>
  <c r="C449" s="1"/>
  <c r="D449" l="1"/>
  <c r="E449" s="1"/>
  <c r="F449" l="1"/>
  <c r="A450"/>
  <c r="D450" s="1"/>
  <c r="B450"/>
  <c r="C450" s="1"/>
  <c r="E450" l="1"/>
  <c r="F450" l="1"/>
  <c r="B451"/>
  <c r="C451" s="1"/>
  <c r="A451"/>
  <c r="D451" l="1"/>
  <c r="E451" s="1"/>
  <c r="B452" l="1"/>
  <c r="C452" s="1"/>
  <c r="F451"/>
  <c r="A452"/>
  <c r="D452" s="1"/>
  <c r="E452" l="1"/>
  <c r="A453" l="1"/>
  <c r="D453" s="1"/>
  <c r="B453"/>
  <c r="C453" s="1"/>
  <c r="F452"/>
  <c r="E453" l="1"/>
  <c r="A454" l="1"/>
  <c r="F453"/>
  <c r="B454"/>
  <c r="C454" s="1"/>
  <c r="D454" l="1"/>
  <c r="E454" s="1"/>
  <c r="B455" l="1"/>
  <c r="C455" s="1"/>
  <c r="F454"/>
  <c r="A455"/>
  <c r="D455" s="1"/>
  <c r="E455" l="1"/>
  <c r="A456" l="1"/>
  <c r="D456" s="1"/>
  <c r="F455"/>
  <c r="B456"/>
  <c r="C456" s="1"/>
  <c r="E456" l="1"/>
  <c r="A457" l="1"/>
  <c r="D457" s="1"/>
  <c r="F456"/>
  <c r="B457"/>
  <c r="C457" s="1"/>
  <c r="E457" l="1"/>
  <c r="F457" l="1"/>
  <c r="B458"/>
  <c r="C458" s="1"/>
  <c r="A458"/>
  <c r="D458" l="1"/>
  <c r="E458" s="1"/>
  <c r="F458" l="1"/>
  <c r="C459"/>
  <c r="B459"/>
  <c r="A459"/>
  <c r="D459" s="1"/>
  <c r="E459" l="1"/>
  <c r="F459" l="1"/>
  <c r="B460"/>
  <c r="C460" s="1"/>
  <c r="A460"/>
  <c r="D460" s="1"/>
  <c r="E460" l="1"/>
  <c r="A461" l="1"/>
  <c r="F460"/>
  <c r="B461"/>
  <c r="C461" s="1"/>
  <c r="D461" l="1"/>
  <c r="E461" s="1"/>
  <c r="A462" l="1"/>
  <c r="B462"/>
  <c r="C462" s="1"/>
  <c r="F461"/>
  <c r="D462" l="1"/>
  <c r="E462" s="1"/>
  <c r="F462" l="1"/>
  <c r="C463"/>
  <c r="A463"/>
  <c r="D463" s="1"/>
  <c r="B463"/>
  <c r="E463" l="1"/>
  <c r="F463" l="1"/>
  <c r="B464"/>
  <c r="C464" s="1"/>
  <c r="A464"/>
  <c r="D464" s="1"/>
  <c r="E464" l="1"/>
  <c r="A465" l="1"/>
  <c r="F464"/>
  <c r="C465"/>
  <c r="B465"/>
  <c r="D465" l="1"/>
  <c r="E465" s="1"/>
  <c r="A466" l="1"/>
  <c r="B466"/>
  <c r="C466" s="1"/>
  <c r="F465"/>
  <c r="D466" l="1"/>
  <c r="E466" s="1"/>
  <c r="F466" l="1"/>
  <c r="B467"/>
  <c r="C467" s="1"/>
  <c r="A467"/>
  <c r="D467" s="1"/>
  <c r="E467" l="1"/>
  <c r="B468" l="1"/>
  <c r="C468" s="1"/>
  <c r="A468"/>
  <c r="F467"/>
  <c r="D468" l="1"/>
  <c r="E468" s="1"/>
  <c r="B469" l="1"/>
  <c r="C469" s="1"/>
  <c r="A469"/>
  <c r="F468"/>
  <c r="D469" l="1"/>
  <c r="E469" s="1"/>
  <c r="F469" l="1"/>
  <c r="B470"/>
  <c r="C470" s="1"/>
  <c r="A470"/>
  <c r="D470" s="1"/>
  <c r="E470" l="1"/>
  <c r="F470" l="1"/>
  <c r="B471"/>
  <c r="C471" s="1"/>
  <c r="A471"/>
  <c r="D471" l="1"/>
  <c r="E471" s="1"/>
  <c r="A472" l="1"/>
  <c r="B472"/>
  <c r="C472" s="1"/>
  <c r="F471"/>
  <c r="D472" l="1"/>
  <c r="E472" s="1"/>
  <c r="B473" l="1"/>
  <c r="C473" s="1"/>
  <c r="A473"/>
  <c r="D473" s="1"/>
  <c r="F472"/>
  <c r="E473" l="1"/>
  <c r="A474" l="1"/>
  <c r="B474"/>
  <c r="C474" s="1"/>
  <c r="F473"/>
  <c r="D474" l="1"/>
  <c r="E474" s="1"/>
  <c r="F474" l="1"/>
  <c r="B475"/>
  <c r="C475" s="1"/>
  <c r="A475"/>
  <c r="D475" s="1"/>
  <c r="E475" l="1"/>
  <c r="B476" l="1"/>
  <c r="C476" s="1"/>
  <c r="A476"/>
  <c r="D476" s="1"/>
  <c r="F475"/>
  <c r="E476" l="1"/>
  <c r="A477" l="1"/>
  <c r="B477"/>
  <c r="C477" s="1"/>
  <c r="F476"/>
  <c r="D477" l="1"/>
  <c r="E477" s="1"/>
  <c r="F477" l="1"/>
  <c r="A478"/>
  <c r="D478" s="1"/>
  <c r="B478"/>
  <c r="C478" s="1"/>
  <c r="E478" l="1"/>
  <c r="A479" l="1"/>
  <c r="B479"/>
  <c r="C479" s="1"/>
  <c r="F478"/>
  <c r="D479" l="1"/>
  <c r="E479" s="1"/>
  <c r="F479" l="1"/>
  <c r="C480"/>
  <c r="A480"/>
  <c r="D480" s="1"/>
  <c r="B480"/>
  <c r="E480" l="1"/>
  <c r="C481" l="1"/>
  <c r="F480"/>
  <c r="B481"/>
  <c r="A481"/>
  <c r="D481" s="1"/>
  <c r="E481" l="1"/>
  <c r="F481" l="1"/>
  <c r="A482"/>
  <c r="D482" s="1"/>
  <c r="B482"/>
  <c r="C482" s="1"/>
  <c r="E482" l="1"/>
  <c r="A483" l="1"/>
  <c r="D483" s="1"/>
  <c r="B483"/>
  <c r="C483" s="1"/>
  <c r="F482"/>
  <c r="E483" l="1"/>
  <c r="F483" l="1"/>
  <c r="A484"/>
  <c r="D484" s="1"/>
  <c r="B484"/>
  <c r="C484" s="1"/>
  <c r="E484" l="1"/>
  <c r="F484" l="1"/>
  <c r="A485"/>
  <c r="D485" s="1"/>
  <c r="B485"/>
  <c r="C485" s="1"/>
  <c r="E485" l="1"/>
  <c r="B486" l="1"/>
  <c r="C486"/>
  <c r="F485"/>
  <c r="A486"/>
  <c r="D486" l="1"/>
  <c r="E486" s="1"/>
  <c r="A487" l="1"/>
  <c r="F486"/>
  <c r="C487"/>
  <c r="B487"/>
  <c r="D487" l="1"/>
  <c r="E487" s="1"/>
  <c r="F487" l="1"/>
  <c r="C488"/>
  <c r="A488"/>
  <c r="B488"/>
  <c r="D488" l="1"/>
  <c r="E488" s="1"/>
  <c r="B489" l="1"/>
  <c r="C489" s="1"/>
  <c r="F488"/>
  <c r="A489"/>
  <c r="D489" s="1"/>
  <c r="E489" l="1"/>
  <c r="B490" l="1"/>
  <c r="C490" s="1"/>
  <c r="F489"/>
  <c r="A490"/>
  <c r="D490" s="1"/>
  <c r="E490" l="1"/>
  <c r="F490" l="1"/>
  <c r="C491"/>
  <c r="A491"/>
  <c r="D491" s="1"/>
  <c r="B491"/>
  <c r="E491" l="1"/>
  <c r="B492" l="1"/>
  <c r="C492" s="1"/>
  <c r="A492"/>
  <c r="D492" s="1"/>
  <c r="F491"/>
  <c r="E492" l="1"/>
  <c r="B493" l="1"/>
  <c r="C493" s="1"/>
  <c r="F492"/>
  <c r="A493"/>
  <c r="D493" s="1"/>
  <c r="E493" l="1"/>
  <c r="B494" l="1"/>
  <c r="C494" s="1"/>
  <c r="A494"/>
  <c r="F493"/>
  <c r="D494" l="1"/>
  <c r="E494" s="1"/>
  <c r="C495" l="1"/>
  <c r="F494"/>
  <c r="A495"/>
  <c r="D495" s="1"/>
  <c r="B495"/>
  <c r="E495" l="1"/>
  <c r="B496" l="1"/>
  <c r="C496" s="1"/>
  <c r="F495"/>
  <c r="A496"/>
  <c r="D496" s="1"/>
  <c r="E496" l="1"/>
  <c r="A497" l="1"/>
  <c r="F496"/>
  <c r="B497"/>
  <c r="C497" s="1"/>
  <c r="D497" l="1"/>
  <c r="E497" s="1"/>
  <c r="B498" l="1"/>
  <c r="C498" s="1"/>
  <c r="A498"/>
  <c r="F497"/>
  <c r="D498" l="1"/>
  <c r="E498" s="1"/>
  <c r="B499" l="1"/>
  <c r="C499" s="1"/>
  <c r="A499"/>
  <c r="F498"/>
  <c r="D499" l="1"/>
  <c r="E499" s="1"/>
  <c r="F499" l="1"/>
  <c r="B500"/>
  <c r="C500" s="1"/>
  <c r="A500"/>
  <c r="D500" s="1"/>
  <c r="E500" l="1"/>
  <c r="A501" l="1"/>
  <c r="B501"/>
  <c r="C501" s="1"/>
  <c r="F500"/>
  <c r="D501" l="1"/>
  <c r="E501" s="1"/>
  <c r="F501" l="1"/>
  <c r="B502"/>
  <c r="C502" s="1"/>
  <c r="A502"/>
  <c r="D502" s="1"/>
  <c r="E502" l="1"/>
  <c r="A503" l="1"/>
  <c r="F502"/>
  <c r="C503"/>
  <c r="B503"/>
  <c r="D503" l="1"/>
  <c r="E503" s="1"/>
  <c r="B504" l="1"/>
  <c r="C504" s="1"/>
  <c r="A504"/>
  <c r="D504" s="1"/>
  <c r="F503"/>
  <c r="E504" l="1"/>
  <c r="C505" l="1"/>
  <c r="F504"/>
  <c r="B505"/>
  <c r="A505"/>
  <c r="D505" s="1"/>
  <c r="E505" l="1"/>
  <c r="B506" l="1"/>
  <c r="F505"/>
  <c r="C506"/>
  <c r="A506"/>
  <c r="D506" s="1"/>
  <c r="E506" l="1"/>
  <c r="B507" s="1"/>
  <c r="F506" l="1"/>
  <c r="C507"/>
  <c r="A507"/>
  <c r="D507" s="1"/>
  <c r="E507" l="1"/>
  <c r="F507" l="1"/>
  <c r="C508"/>
  <c r="A508"/>
  <c r="D508" s="1"/>
  <c r="B508"/>
  <c r="E508" l="1"/>
  <c r="F508" l="1"/>
  <c r="A509"/>
  <c r="B509"/>
  <c r="C509" s="1"/>
  <c r="D509" l="1"/>
  <c r="E509" s="1"/>
  <c r="F509" l="1"/>
  <c r="C510"/>
  <c r="A510"/>
  <c r="D510" s="1"/>
  <c r="B510"/>
  <c r="E510" l="1"/>
  <c r="F510" l="1"/>
  <c r="A511"/>
  <c r="D511" s="1"/>
  <c r="B511"/>
  <c r="C511" s="1"/>
  <c r="E511" l="1"/>
  <c r="B512" l="1"/>
  <c r="C512" s="1"/>
  <c r="A512"/>
  <c r="F511"/>
  <c r="D512" l="1"/>
  <c r="E512" s="1"/>
  <c r="F512" l="1"/>
  <c r="C513"/>
  <c r="B513"/>
  <c r="A513"/>
  <c r="D513" s="1"/>
  <c r="E513" l="1"/>
  <c r="F513" l="1"/>
  <c r="A514"/>
  <c r="D514" s="1"/>
  <c r="C514"/>
  <c r="B514"/>
  <c r="E514" l="1"/>
  <c r="C515" l="1"/>
  <c r="A515"/>
  <c r="B515"/>
  <c r="F514"/>
  <c r="D515" l="1"/>
  <c r="E515" s="1"/>
  <c r="F515" l="1"/>
  <c r="B516"/>
  <c r="C516" s="1"/>
  <c r="A516"/>
  <c r="D516" l="1"/>
  <c r="E516" s="1"/>
  <c r="C517" l="1"/>
  <c r="A517"/>
  <c r="F516"/>
  <c r="B517"/>
  <c r="D517" l="1"/>
  <c r="E517" s="1"/>
  <c r="F517" l="1"/>
  <c r="C518"/>
  <c r="A518"/>
  <c r="D518" s="1"/>
  <c r="B518"/>
  <c r="E518" l="1"/>
  <c r="B519" l="1"/>
  <c r="C519" s="1"/>
  <c r="A519"/>
  <c r="D519" s="1"/>
  <c r="F518"/>
  <c r="E519" l="1"/>
  <c r="B520" l="1"/>
  <c r="C520"/>
  <c r="F519"/>
  <c r="A520"/>
  <c r="D520" l="1"/>
  <c r="E520" s="1"/>
  <c r="F520" l="1"/>
  <c r="C521"/>
  <c r="B521"/>
  <c r="A521"/>
  <c r="D521" l="1"/>
  <c r="E521" s="1"/>
  <c r="F521" l="1"/>
  <c r="B522"/>
  <c r="C522" s="1"/>
  <c r="A522"/>
  <c r="D522" s="1"/>
  <c r="E522" l="1"/>
  <c r="A523" s="1"/>
  <c r="B523" l="1"/>
  <c r="C523"/>
  <c r="E523" s="1"/>
  <c r="F522"/>
  <c r="D523"/>
  <c r="B524" l="1"/>
  <c r="C524"/>
  <c r="F523"/>
  <c r="A524"/>
  <c r="D524" s="1"/>
  <c r="E524" l="1"/>
  <c r="C525" l="1"/>
  <c r="B525"/>
  <c r="A525"/>
  <c r="D525" s="1"/>
  <c r="F524"/>
  <c r="E525" l="1"/>
  <c r="B526" l="1"/>
  <c r="C526" s="1"/>
  <c r="F525"/>
  <c r="A526"/>
  <c r="D526" s="1"/>
  <c r="E526" l="1"/>
  <c r="A527" l="1"/>
  <c r="F526"/>
  <c r="B527"/>
  <c r="C527" s="1"/>
  <c r="D527" l="1"/>
  <c r="E527" s="1"/>
  <c r="B528" l="1"/>
  <c r="C528" s="1"/>
  <c r="A528"/>
  <c r="D528" s="1"/>
  <c r="F527"/>
  <c r="E528" l="1"/>
  <c r="A529" l="1"/>
  <c r="B529"/>
  <c r="C529" s="1"/>
  <c r="F528"/>
  <c r="D529" l="1"/>
  <c r="E529" s="1"/>
  <c r="A530" l="1"/>
  <c r="F529"/>
  <c r="B530"/>
  <c r="C530"/>
  <c r="D530" l="1"/>
  <c r="E530" s="1"/>
  <c r="A531" s="1"/>
  <c r="C531" l="1"/>
  <c r="E531" s="1"/>
  <c r="D531"/>
  <c r="B531"/>
  <c r="F530"/>
  <c r="F531" l="1"/>
  <c r="B532"/>
  <c r="C532" s="1"/>
  <c r="A532"/>
  <c r="D532" s="1"/>
  <c r="E532" l="1"/>
  <c r="A533" l="1"/>
  <c r="D533" s="1"/>
  <c r="B533"/>
  <c r="C533" s="1"/>
  <c r="F532"/>
  <c r="E533" l="1"/>
  <c r="F533" l="1"/>
  <c r="C534"/>
  <c r="A534"/>
  <c r="D534" s="1"/>
  <c r="B534"/>
  <c r="E534" l="1"/>
  <c r="F534" s="1"/>
  <c r="B535" l="1"/>
  <c r="C535" s="1"/>
  <c r="A535"/>
  <c r="D535" l="1"/>
  <c r="E535" s="1"/>
  <c r="A536" l="1"/>
  <c r="B536"/>
  <c r="C536" s="1"/>
  <c r="F535"/>
  <c r="D536" l="1"/>
  <c r="E536" s="1"/>
  <c r="A537" l="1"/>
  <c r="B537"/>
  <c r="C537"/>
  <c r="F536"/>
  <c r="D537" l="1"/>
  <c r="E537" s="1"/>
  <c r="F537" l="1"/>
  <c r="C538"/>
  <c r="B538"/>
  <c r="A538"/>
  <c r="D538" l="1"/>
  <c r="E538" s="1"/>
  <c r="A539" l="1"/>
  <c r="F538"/>
  <c r="B539"/>
  <c r="C539"/>
  <c r="D539" l="1"/>
  <c r="E539" s="1"/>
  <c r="B540" l="1"/>
  <c r="C540" s="1"/>
  <c r="F539"/>
  <c r="A540"/>
  <c r="D540" s="1"/>
  <c r="E540" l="1"/>
  <c r="B541" l="1"/>
  <c r="C541" s="1"/>
  <c r="A541"/>
  <c r="D541" s="1"/>
  <c r="F540"/>
  <c r="E541" l="1"/>
  <c r="F541" l="1"/>
  <c r="C542"/>
  <c r="A542"/>
  <c r="D542" s="1"/>
  <c r="B542"/>
  <c r="E542" l="1"/>
  <c r="C543" l="1"/>
  <c r="F542"/>
  <c r="B543"/>
  <c r="A543"/>
  <c r="D543" s="1"/>
  <c r="E543" l="1"/>
  <c r="C544" l="1"/>
  <c r="B544"/>
  <c r="A544"/>
  <c r="D544" s="1"/>
  <c r="F543"/>
  <c r="E544" l="1"/>
  <c r="F544" l="1"/>
  <c r="A545"/>
  <c r="D545" s="1"/>
  <c r="B545"/>
  <c r="C545"/>
  <c r="E545" l="1"/>
  <c r="C546" l="1"/>
  <c r="F545"/>
  <c r="B546"/>
  <c r="A546"/>
  <c r="D546" s="1"/>
  <c r="E546" l="1"/>
  <c r="A547" l="1"/>
  <c r="C547"/>
  <c r="F546"/>
  <c r="B547"/>
  <c r="D547" l="1"/>
  <c r="E547" s="1"/>
  <c r="A548" l="1"/>
  <c r="D548" s="1"/>
  <c r="B548"/>
  <c r="F547"/>
  <c r="C548"/>
  <c r="E548" l="1"/>
  <c r="B549" l="1"/>
  <c r="A549"/>
  <c r="D549" s="1"/>
  <c r="C549"/>
  <c r="F548"/>
  <c r="E549" l="1"/>
  <c r="A550" l="1"/>
  <c r="D550" s="1"/>
  <c r="F549"/>
  <c r="C550"/>
  <c r="B550"/>
  <c r="E550" l="1"/>
  <c r="C551" l="1"/>
  <c r="F550"/>
  <c r="A551"/>
  <c r="D551" s="1"/>
  <c r="B551"/>
  <c r="E551" l="1"/>
  <c r="B552" l="1"/>
  <c r="F551"/>
  <c r="A552"/>
  <c r="D552" s="1"/>
  <c r="C552"/>
  <c r="E552" l="1"/>
  <c r="A553" l="1"/>
  <c r="F552"/>
  <c r="B553"/>
  <c r="C553"/>
  <c r="D553" l="1"/>
  <c r="E553" s="1"/>
  <c r="F553" s="1"/>
  <c r="B554" l="1"/>
  <c r="C554" s="1"/>
  <c r="A554"/>
  <c r="D554" l="1"/>
  <c r="E554" s="1"/>
  <c r="B555" l="1"/>
  <c r="A555"/>
  <c r="D555" s="1"/>
  <c r="F554"/>
  <c r="C555"/>
  <c r="E555" l="1"/>
  <c r="F555" l="1"/>
  <c r="A556"/>
  <c r="D556" s="1"/>
  <c r="B556"/>
  <c r="C556"/>
  <c r="E556" l="1"/>
  <c r="C557" l="1"/>
  <c r="F556"/>
  <c r="A557"/>
  <c r="D557" s="1"/>
  <c r="B557"/>
  <c r="E557" l="1"/>
  <c r="A558" l="1"/>
  <c r="C558"/>
  <c r="F557"/>
  <c r="B558"/>
  <c r="D558" l="1"/>
  <c r="E558" s="1"/>
  <c r="F558" l="1"/>
  <c r="A559"/>
  <c r="C559"/>
  <c r="B559"/>
  <c r="D559" l="1"/>
  <c r="E559" s="1"/>
  <c r="B560" l="1"/>
  <c r="C560" s="1"/>
  <c r="F559"/>
  <c r="A560"/>
  <c r="D560" s="1"/>
  <c r="E560" l="1"/>
  <c r="A561" l="1"/>
  <c r="C561"/>
  <c r="F560"/>
  <c r="B561"/>
  <c r="D561" l="1"/>
  <c r="E561" s="1"/>
  <c r="B562" l="1"/>
  <c r="C562"/>
  <c r="F561"/>
  <c r="A562"/>
  <c r="D562" l="1"/>
  <c r="E562" s="1"/>
  <c r="F562" l="1"/>
  <c r="C563"/>
  <c r="B563"/>
  <c r="A563"/>
  <c r="D563" l="1"/>
  <c r="E563" s="1"/>
  <c r="C564" l="1"/>
  <c r="F563"/>
  <c r="B564"/>
  <c r="A564"/>
  <c r="D564" s="1"/>
  <c r="E564" l="1"/>
  <c r="C565" l="1"/>
  <c r="A565"/>
  <c r="B565"/>
  <c r="F564"/>
  <c r="D565" l="1"/>
  <c r="E565" s="1"/>
  <c r="F565" s="1"/>
  <c r="A566" l="1"/>
  <c r="C566"/>
  <c r="B566"/>
  <c r="D566" l="1"/>
  <c r="E566" s="1"/>
  <c r="A567" l="1"/>
  <c r="F566"/>
  <c r="B567"/>
  <c r="C567"/>
  <c r="D567" l="1"/>
  <c r="E567" s="1"/>
  <c r="A568" l="1"/>
  <c r="C568"/>
  <c r="F567"/>
  <c r="B568"/>
  <c r="E568" l="1"/>
  <c r="D568"/>
  <c r="F568" l="1"/>
  <c r="C569"/>
  <c r="A569"/>
  <c r="B569"/>
  <c r="D569" l="1"/>
  <c r="E569" s="1"/>
  <c r="F569" l="1"/>
  <c r="A570"/>
  <c r="B570"/>
  <c r="C570"/>
  <c r="E570" l="1"/>
  <c r="D570"/>
  <c r="A571" l="1"/>
  <c r="B571"/>
  <c r="C571"/>
  <c r="F570"/>
  <c r="D571" l="1"/>
  <c r="E571" s="1"/>
  <c r="F571" l="1"/>
  <c r="B572"/>
  <c r="A572"/>
  <c r="D572" s="1"/>
  <c r="C572"/>
  <c r="E572" l="1"/>
  <c r="C573" l="1"/>
  <c r="B573"/>
  <c r="F572"/>
  <c r="A573"/>
  <c r="D573"/>
  <c r="E573" l="1"/>
  <c r="F573" l="1"/>
  <c r="B574"/>
  <c r="A574"/>
  <c r="D574" s="1"/>
  <c r="C574"/>
  <c r="E574" l="1"/>
  <c r="B575" l="1"/>
  <c r="F574"/>
  <c r="C575"/>
  <c r="A575"/>
  <c r="D575" l="1"/>
  <c r="E575" s="1"/>
  <c r="F575" l="1"/>
  <c r="A576"/>
  <c r="D576" s="1"/>
  <c r="C576"/>
  <c r="B576"/>
  <c r="E576" l="1"/>
  <c r="C577" l="1"/>
  <c r="B577"/>
  <c r="F576"/>
  <c r="A577"/>
  <c r="D577"/>
  <c r="E577" l="1"/>
  <c r="B578" s="1"/>
  <c r="A578" l="1"/>
  <c r="F577"/>
  <c r="C578"/>
  <c r="D578" l="1"/>
  <c r="E578" s="1"/>
  <c r="C579" l="1"/>
  <c r="F578"/>
  <c r="B579"/>
  <c r="A579"/>
  <c r="D579"/>
  <c r="E579" l="1"/>
  <c r="A580" l="1"/>
  <c r="B580"/>
  <c r="F579"/>
  <c r="C580"/>
  <c r="E580" l="1"/>
  <c r="D580"/>
  <c r="C581" l="1"/>
  <c r="A581"/>
  <c r="B581"/>
  <c r="F580"/>
  <c r="D581" l="1"/>
  <c r="E581" s="1"/>
  <c r="B582" l="1"/>
  <c r="A582"/>
  <c r="D582" s="1"/>
  <c r="C582"/>
  <c r="F581"/>
  <c r="E582" l="1"/>
  <c r="B583" l="1"/>
  <c r="A583"/>
  <c r="F582"/>
  <c r="C583"/>
  <c r="D583" l="1"/>
  <c r="E583" s="1"/>
  <c r="A584" l="1"/>
  <c r="D584" s="1"/>
  <c r="B584"/>
  <c r="F583"/>
  <c r="C584"/>
  <c r="E584" l="1"/>
  <c r="F584" l="1"/>
  <c r="B585"/>
  <c r="C585"/>
  <c r="A585"/>
  <c r="D585" l="1"/>
  <c r="E585" s="1"/>
  <c r="C586" l="1"/>
  <c r="B586"/>
  <c r="F585"/>
  <c r="A586"/>
  <c r="D586"/>
  <c r="E586" l="1"/>
  <c r="B587" l="1"/>
  <c r="A587"/>
  <c r="F586"/>
  <c r="C587"/>
  <c r="D587" l="1"/>
  <c r="E587" s="1"/>
  <c r="C588" l="1"/>
  <c r="B588"/>
  <c r="F587"/>
  <c r="A588"/>
  <c r="D588"/>
  <c r="E588" l="1"/>
  <c r="D589" l="1"/>
  <c r="C589"/>
  <c r="A589"/>
  <c r="E589" s="1"/>
  <c r="B589"/>
  <c r="F588"/>
  <c r="D590" l="1"/>
  <c r="A590"/>
  <c r="E590" s="1"/>
  <c r="F589"/>
  <c r="C590"/>
  <c r="B590"/>
  <c r="D591" l="1"/>
  <c r="A591"/>
  <c r="E591" s="1"/>
  <c r="F590"/>
  <c r="B591"/>
  <c r="C591"/>
  <c r="B592" l="1"/>
  <c r="A592"/>
  <c r="E592" s="1"/>
  <c r="D592"/>
  <c r="F591"/>
  <c r="C592"/>
  <c r="A593" l="1"/>
  <c r="E593" s="1"/>
  <c r="F592"/>
  <c r="B593"/>
  <c r="D593"/>
  <c r="C593"/>
  <c r="D594" l="1"/>
  <c r="B594"/>
  <c r="A594"/>
  <c r="E594" s="1"/>
  <c r="C594"/>
  <c r="F593"/>
  <c r="B595" l="1"/>
  <c r="D595"/>
  <c r="C595"/>
  <c r="A595"/>
  <c r="E595" s="1"/>
  <c r="F594"/>
  <c r="C596" l="1"/>
  <c r="B596"/>
  <c r="F595"/>
  <c r="D596"/>
  <c r="A596"/>
  <c r="E596" s="1"/>
  <c r="A597" l="1"/>
  <c r="E597" s="1"/>
  <c r="D597"/>
  <c r="B597"/>
  <c r="F596"/>
  <c r="C597"/>
  <c r="D598" l="1"/>
  <c r="F597"/>
  <c r="B598"/>
  <c r="A598"/>
  <c r="E598" s="1"/>
  <c r="C598"/>
  <c r="D599" l="1"/>
  <c r="F598"/>
  <c r="B599"/>
  <c r="C599"/>
  <c r="A599"/>
  <c r="E599" s="1"/>
  <c r="B600" l="1"/>
  <c r="F599"/>
  <c r="C600"/>
  <c r="D600"/>
  <c r="A600"/>
  <c r="E600" s="1"/>
  <c r="D601" l="1"/>
  <c r="F600"/>
  <c r="B601"/>
  <c r="C601"/>
  <c r="A601"/>
  <c r="E601" s="1"/>
  <c r="A602" l="1"/>
  <c r="E602" s="1"/>
  <c r="D602"/>
  <c r="F601"/>
  <c r="B602"/>
  <c r="C602"/>
  <c r="C603" l="1"/>
  <c r="A603"/>
  <c r="E603" s="1"/>
  <c r="F602"/>
  <c r="B603"/>
  <c r="D603"/>
  <c r="A604" l="1"/>
  <c r="E604" s="1"/>
  <c r="C604"/>
  <c r="D604"/>
  <c r="F603"/>
  <c r="B604"/>
  <c r="C605" l="1"/>
  <c r="F604"/>
  <c r="D605"/>
  <c r="B605"/>
  <c r="A605"/>
  <c r="E605" s="1"/>
  <c r="B606" l="1"/>
  <c r="A606"/>
  <c r="E606" s="1"/>
  <c r="F605"/>
  <c r="C606"/>
  <c r="D606"/>
  <c r="A607" l="1"/>
  <c r="E607" s="1"/>
  <c r="B607"/>
  <c r="D607"/>
  <c r="F606"/>
  <c r="C607"/>
  <c r="F607" l="1"/>
  <c r="D608"/>
  <c r="A608"/>
  <c r="E608" s="1"/>
  <c r="B608"/>
  <c r="C608"/>
  <c r="B609" l="1"/>
  <c r="D609"/>
  <c r="F608"/>
  <c r="A609"/>
  <c r="E609" s="1"/>
  <c r="C609"/>
  <c r="B610" l="1"/>
  <c r="A610"/>
  <c r="E610" s="1"/>
  <c r="F609"/>
  <c r="D610"/>
  <c r="C610"/>
  <c r="C611" l="1"/>
  <c r="A611"/>
  <c r="E611" s="1"/>
  <c r="D611"/>
  <c r="F610"/>
  <c r="B611"/>
  <c r="B612" l="1"/>
  <c r="A612"/>
  <c r="E612" s="1"/>
  <c r="D612"/>
  <c r="F611"/>
  <c r="C612"/>
  <c r="C613" l="1"/>
  <c r="D613"/>
  <c r="A613"/>
  <c r="E613" s="1"/>
  <c r="B613"/>
  <c r="F612"/>
  <c r="A614" l="1"/>
  <c r="E614" s="1"/>
  <c r="B614"/>
  <c r="D614"/>
  <c r="C614"/>
  <c r="F613"/>
  <c r="A615" l="1"/>
  <c r="E615" s="1"/>
  <c r="F614"/>
  <c r="D615"/>
  <c r="B615"/>
  <c r="C615"/>
  <c r="F615" l="1"/>
  <c r="D616"/>
  <c r="A616"/>
  <c r="E616" s="1"/>
  <c r="C616"/>
  <c r="B616"/>
  <c r="B617" l="1"/>
  <c r="D617"/>
  <c r="F616"/>
  <c r="A617"/>
  <c r="E617" s="1"/>
  <c r="C617"/>
  <c r="D618" l="1"/>
  <c r="F617"/>
  <c r="B618"/>
  <c r="A618"/>
  <c r="E618" s="1"/>
  <c r="C618"/>
  <c r="D619" l="1"/>
  <c r="A619"/>
  <c r="E619" s="1"/>
  <c r="B619"/>
  <c r="C619"/>
  <c r="F618"/>
  <c r="F619" l="1"/>
  <c r="C620"/>
  <c r="B620"/>
  <c r="A620"/>
  <c r="E620" s="1"/>
  <c r="D620"/>
  <c r="A621" l="1"/>
  <c r="E621" s="1"/>
  <c r="D621"/>
  <c r="B621"/>
  <c r="F620"/>
  <c r="C621"/>
  <c r="D622" l="1"/>
  <c r="F621"/>
  <c r="B622"/>
  <c r="A622"/>
  <c r="E622" s="1"/>
  <c r="C622"/>
  <c r="A623" l="1"/>
  <c r="E623" s="1"/>
  <c r="C623"/>
  <c r="D623"/>
  <c r="B623"/>
  <c r="F622"/>
  <c r="A624" l="1"/>
  <c r="E624" s="1"/>
  <c r="C624"/>
  <c r="B624"/>
  <c r="F623"/>
  <c r="D624"/>
  <c r="A625" l="1"/>
  <c r="E625" s="1"/>
  <c r="C625"/>
  <c r="F624"/>
  <c r="D625"/>
  <c r="B625"/>
  <c r="F625" l="1"/>
  <c r="B626"/>
  <c r="A626"/>
  <c r="E626" s="1"/>
  <c r="C626"/>
  <c r="D626"/>
  <c r="D627" l="1"/>
  <c r="A627"/>
  <c r="E627" s="1"/>
  <c r="B627"/>
  <c r="F626"/>
  <c r="C627"/>
  <c r="C628" l="1"/>
  <c r="B628"/>
  <c r="A628"/>
  <c r="E628" s="1"/>
  <c r="D628"/>
  <c r="F627"/>
  <c r="C629" l="1"/>
  <c r="A629"/>
  <c r="E629" s="1"/>
  <c r="B629"/>
  <c r="D629"/>
  <c r="F628"/>
  <c r="A630" l="1"/>
  <c r="E630" s="1"/>
  <c r="B630"/>
  <c r="D630"/>
  <c r="C630"/>
  <c r="F629"/>
  <c r="A631" l="1"/>
  <c r="E631" s="1"/>
  <c r="C631"/>
  <c r="B631"/>
  <c r="D631"/>
  <c r="F630"/>
  <c r="B632" l="1"/>
  <c r="F631"/>
  <c r="D632"/>
  <c r="C632"/>
  <c r="A632"/>
  <c r="E632" s="1"/>
  <c r="A633" l="1"/>
  <c r="E633" s="1"/>
  <c r="D633"/>
  <c r="B633"/>
  <c r="F632"/>
  <c r="C633"/>
  <c r="B634" l="1"/>
  <c r="A634"/>
  <c r="E634" s="1"/>
  <c r="C634"/>
  <c r="D634"/>
  <c r="F633"/>
  <c r="C635" l="1"/>
  <c r="D635"/>
  <c r="B635"/>
  <c r="F634"/>
  <c r="A635"/>
  <c r="E635" s="1"/>
  <c r="F635" l="1"/>
  <c r="C636"/>
  <c r="A636"/>
  <c r="E636" s="1"/>
  <c r="D636"/>
  <c r="B636"/>
  <c r="B637" l="1"/>
  <c r="F636"/>
  <c r="C637"/>
  <c r="D637"/>
  <c r="A637"/>
  <c r="E637" s="1"/>
  <c r="A638" l="1"/>
  <c r="E638" s="1"/>
  <c r="B638"/>
  <c r="D638"/>
  <c r="C638"/>
  <c r="F637"/>
  <c r="D639" l="1"/>
  <c r="B639"/>
  <c r="F638"/>
  <c r="A639"/>
  <c r="E639" s="1"/>
  <c r="C639"/>
  <c r="D640" l="1"/>
  <c r="F639"/>
  <c r="B640"/>
  <c r="A640"/>
  <c r="E640" s="1"/>
  <c r="C640"/>
  <c r="D641" l="1"/>
  <c r="A641"/>
  <c r="E641" s="1"/>
  <c r="F640"/>
  <c r="C641"/>
  <c r="B641"/>
  <c r="F641" l="1"/>
  <c r="A642"/>
  <c r="E642" s="1"/>
  <c r="D642"/>
  <c r="C642"/>
  <c r="B642"/>
  <c r="D643" l="1"/>
  <c r="F642"/>
  <c r="C643"/>
  <c r="B643"/>
  <c r="A643"/>
  <c r="E643" s="1"/>
  <c r="F643" l="1"/>
  <c r="C644"/>
  <c r="A644"/>
  <c r="E644" s="1"/>
  <c r="B644"/>
  <c r="D644"/>
  <c r="A645" l="1"/>
  <c r="E645" s="1"/>
  <c r="D645"/>
  <c r="C645"/>
  <c r="B645"/>
  <c r="F644"/>
  <c r="C646" l="1"/>
  <c r="D646"/>
  <c r="B646"/>
  <c r="F645"/>
  <c r="A646"/>
  <c r="E646" s="1"/>
  <c r="D647" l="1"/>
  <c r="B647"/>
  <c r="C647"/>
  <c r="F646"/>
  <c r="A647"/>
  <c r="E647" s="1"/>
  <c r="A648" l="1"/>
  <c r="E648" s="1"/>
  <c r="D648"/>
  <c r="B648"/>
  <c r="C648"/>
  <c r="F647"/>
  <c r="C649" l="1"/>
  <c r="D649"/>
  <c r="B649"/>
  <c r="F648"/>
  <c r="A649"/>
  <c r="E649" s="1"/>
  <c r="C650" l="1"/>
  <c r="F649"/>
  <c r="B650"/>
  <c r="A650"/>
  <c r="E650" s="1"/>
  <c r="D650"/>
  <c r="B651" l="1"/>
  <c r="C651"/>
  <c r="F650"/>
  <c r="D651"/>
  <c r="A651"/>
  <c r="E651" s="1"/>
  <c r="A652" l="1"/>
  <c r="E652" s="1"/>
  <c r="B652"/>
  <c r="D652"/>
  <c r="C652"/>
  <c r="F651"/>
  <c r="B653" l="1"/>
  <c r="F652"/>
  <c r="C653"/>
  <c r="D653"/>
  <c r="A653"/>
  <c r="E653" s="1"/>
  <c r="F653" l="1"/>
  <c r="C654"/>
  <c r="A654"/>
  <c r="E654" s="1"/>
  <c r="B654"/>
  <c r="D654"/>
  <c r="A655" l="1"/>
  <c r="E655" s="1"/>
  <c r="C655"/>
  <c r="B655"/>
  <c r="D655"/>
  <c r="F654"/>
  <c r="D656" l="1"/>
  <c r="B656"/>
  <c r="F655"/>
  <c r="A656"/>
  <c r="E656" s="1"/>
  <c r="C656"/>
  <c r="B657" l="1"/>
  <c r="F656"/>
  <c r="A657"/>
  <c r="E657" s="1"/>
  <c r="D657"/>
  <c r="C657"/>
  <c r="D658" l="1"/>
  <c r="B658"/>
  <c r="C658"/>
  <c r="A658"/>
  <c r="E658" s="1"/>
  <c r="F657"/>
  <c r="D659" l="1"/>
  <c r="A659"/>
  <c r="E659" s="1"/>
  <c r="C659"/>
  <c r="F658"/>
  <c r="B659"/>
  <c r="B660" l="1"/>
  <c r="F659"/>
  <c r="C660"/>
  <c r="D660"/>
  <c r="A660"/>
  <c r="E660" s="1"/>
  <c r="B661" l="1"/>
  <c r="C661"/>
  <c r="F660"/>
  <c r="A661"/>
  <c r="E661" s="1"/>
  <c r="D661"/>
  <c r="F661" l="1"/>
  <c r="A662"/>
  <c r="E662" s="1"/>
  <c r="B662"/>
  <c r="C662"/>
  <c r="D662"/>
  <c r="D663" l="1"/>
  <c r="A663"/>
  <c r="E663" s="1"/>
  <c r="B663"/>
  <c r="F662"/>
  <c r="C663"/>
  <c r="D664" l="1"/>
  <c r="B664"/>
  <c r="F663"/>
  <c r="A664"/>
  <c r="E664" s="1"/>
  <c r="C664"/>
  <c r="C665" l="1"/>
  <c r="D665"/>
  <c r="B665"/>
  <c r="F664"/>
  <c r="A665"/>
  <c r="E665" s="1"/>
  <c r="A666" l="1"/>
  <c r="E666" s="1"/>
  <c r="F665"/>
  <c r="B666"/>
  <c r="C666"/>
  <c r="D666"/>
  <c r="B667" l="1"/>
  <c r="C667"/>
  <c r="D667"/>
  <c r="A667"/>
  <c r="E667" s="1"/>
  <c r="F666"/>
  <c r="B668" l="1"/>
  <c r="D668"/>
  <c r="A668"/>
  <c r="E668" s="1"/>
  <c r="C668"/>
  <c r="F667"/>
  <c r="D669" l="1"/>
  <c r="F668"/>
  <c r="B669"/>
  <c r="C669"/>
  <c r="A669"/>
  <c r="E669" s="1"/>
  <c r="F669" l="1"/>
  <c r="C670"/>
  <c r="A670"/>
  <c r="E670" s="1"/>
  <c r="D670"/>
  <c r="B670"/>
  <c r="C671" l="1"/>
  <c r="A671"/>
  <c r="E671" s="1"/>
  <c r="B671"/>
  <c r="D671"/>
  <c r="F670"/>
  <c r="A672" l="1"/>
  <c r="E672" s="1"/>
  <c r="D672"/>
  <c r="C672"/>
  <c r="B672"/>
  <c r="F671"/>
  <c r="B673" l="1"/>
  <c r="C673"/>
  <c r="F672"/>
  <c r="D673"/>
  <c r="A673"/>
  <c r="E673" s="1"/>
  <c r="D674" l="1"/>
  <c r="C674"/>
  <c r="B674"/>
  <c r="A674"/>
  <c r="E674" s="1"/>
  <c r="F673"/>
  <c r="A675" l="1"/>
  <c r="E675" s="1"/>
  <c r="B675"/>
  <c r="C675"/>
  <c r="D675"/>
  <c r="F674"/>
  <c r="B676" l="1"/>
  <c r="C676"/>
  <c r="A676"/>
  <c r="E676" s="1"/>
  <c r="F675"/>
  <c r="D676"/>
  <c r="F676" l="1"/>
  <c r="D677"/>
  <c r="A677"/>
  <c r="E677" s="1"/>
  <c r="B677"/>
  <c r="C677"/>
  <c r="F677" l="1"/>
  <c r="C678"/>
  <c r="B678"/>
  <c r="D678"/>
  <c r="A678"/>
  <c r="E678" s="1"/>
  <c r="C679" l="1"/>
  <c r="D679"/>
  <c r="A679"/>
  <c r="E679" s="1"/>
  <c r="B679"/>
  <c r="F678"/>
  <c r="D680" l="1"/>
  <c r="B680"/>
  <c r="A680"/>
  <c r="E680" s="1"/>
  <c r="C680"/>
  <c r="F679"/>
  <c r="F680" l="1"/>
  <c r="C681"/>
  <c r="A681"/>
  <c r="E681" s="1"/>
  <c r="B681"/>
  <c r="D681"/>
  <c r="C682" l="1"/>
  <c r="F681"/>
  <c r="A682"/>
  <c r="E682" s="1"/>
  <c r="D682"/>
  <c r="B682"/>
  <c r="D683" l="1"/>
  <c r="C683"/>
  <c r="F682"/>
  <c r="A683"/>
  <c r="E683" s="1"/>
  <c r="B683"/>
  <c r="A684" l="1"/>
  <c r="E684" s="1"/>
  <c r="C684"/>
  <c r="B684"/>
  <c r="D684"/>
  <c r="F683"/>
  <c r="D685" l="1"/>
  <c r="B685"/>
  <c r="C685"/>
  <c r="A685"/>
  <c r="E685" s="1"/>
  <c r="F684"/>
  <c r="C686" l="1"/>
  <c r="A686"/>
  <c r="E686" s="1"/>
  <c r="B686"/>
  <c r="D686"/>
  <c r="F685"/>
  <c r="F686" l="1"/>
  <c r="D687"/>
  <c r="B687"/>
  <c r="C687"/>
  <c r="A687"/>
  <c r="E687" s="1"/>
  <c r="A688" l="1"/>
  <c r="E688" s="1"/>
  <c r="D688"/>
  <c r="B688"/>
  <c r="F687"/>
  <c r="C688"/>
  <c r="F688" l="1"/>
  <c r="B689"/>
  <c r="A689"/>
  <c r="E689" s="1"/>
  <c r="D689"/>
  <c r="C689"/>
  <c r="F689" l="1"/>
  <c r="A690"/>
  <c r="E690" s="1"/>
  <c r="C690"/>
  <c r="D690"/>
  <c r="B690"/>
  <c r="F690" l="1"/>
  <c r="A691"/>
  <c r="E691" s="1"/>
  <c r="C691"/>
  <c r="B691"/>
  <c r="D691"/>
  <c r="C692" l="1"/>
  <c r="A692"/>
  <c r="E692" s="1"/>
  <c r="B692"/>
  <c r="D692"/>
  <c r="F691"/>
  <c r="C693" l="1"/>
  <c r="B693"/>
  <c r="F692"/>
  <c r="A693"/>
  <c r="E693" s="1"/>
  <c r="D693"/>
  <c r="D694" l="1"/>
  <c r="B694"/>
  <c r="A694"/>
  <c r="E694" s="1"/>
  <c r="F693"/>
  <c r="C694"/>
  <c r="B695" l="1"/>
  <c r="C695"/>
  <c r="F694"/>
  <c r="D695"/>
  <c r="A695"/>
  <c r="E695" s="1"/>
  <c r="B696" l="1"/>
  <c r="A696"/>
  <c r="E696" s="1"/>
  <c r="D696"/>
  <c r="F695"/>
  <c r="C696"/>
  <c r="A697" l="1"/>
  <c r="E697" s="1"/>
  <c r="D697"/>
  <c r="C697"/>
  <c r="F696"/>
  <c r="B697"/>
  <c r="D698" l="1"/>
  <c r="B698"/>
  <c r="F697"/>
  <c r="C698"/>
  <c r="A698"/>
  <c r="E698" s="1"/>
  <c r="C699" l="1"/>
  <c r="F698"/>
  <c r="B699"/>
  <c r="D699"/>
  <c r="A699"/>
  <c r="E699" s="1"/>
  <c r="B700" l="1"/>
  <c r="F699"/>
  <c r="C700"/>
  <c r="A700"/>
  <c r="E700" s="1"/>
  <c r="D700"/>
  <c r="F700" l="1"/>
  <c r="B701"/>
  <c r="A701"/>
  <c r="E701" s="1"/>
  <c r="C701"/>
  <c r="D701"/>
  <c r="D702" l="1"/>
  <c r="B702"/>
  <c r="C702"/>
  <c r="F701"/>
  <c r="A702"/>
  <c r="E702" s="1"/>
  <c r="A703" l="1"/>
  <c r="E703" s="1"/>
  <c r="B703"/>
  <c r="C703"/>
  <c r="D703"/>
  <c r="F702"/>
  <c r="D704" l="1"/>
  <c r="A704"/>
  <c r="E704" s="1"/>
  <c r="B704"/>
  <c r="F703"/>
  <c r="C704"/>
  <c r="F704" l="1"/>
  <c r="A705"/>
  <c r="E705" s="1"/>
  <c r="C705"/>
  <c r="B705"/>
  <c r="D705"/>
  <c r="B706" l="1"/>
  <c r="C706"/>
  <c r="D706"/>
  <c r="F705"/>
  <c r="A706"/>
  <c r="E706" s="1"/>
  <c r="F706" l="1"/>
  <c r="A707"/>
  <c r="E707" s="1"/>
  <c r="B707"/>
  <c r="C707"/>
  <c r="D707"/>
  <c r="B708" l="1"/>
  <c r="D708"/>
  <c r="F707"/>
  <c r="A708"/>
  <c r="E708" s="1"/>
  <c r="C708"/>
  <c r="F708" l="1"/>
  <c r="B709"/>
  <c r="D709"/>
  <c r="A709"/>
  <c r="E709" s="1"/>
  <c r="C709"/>
  <c r="C710" l="1"/>
  <c r="F709"/>
  <c r="B710"/>
  <c r="D710"/>
  <c r="A710"/>
  <c r="E710" s="1"/>
  <c r="D711" l="1"/>
  <c r="F710"/>
  <c r="A711"/>
  <c r="E711" s="1"/>
  <c r="C711"/>
  <c r="B711"/>
  <c r="F711" l="1"/>
  <c r="D712"/>
  <c r="C712"/>
  <c r="B712"/>
  <c r="A712"/>
  <c r="E712" s="1"/>
  <c r="A713" l="1"/>
  <c r="E713" s="1"/>
  <c r="B713"/>
  <c r="F712"/>
  <c r="D713"/>
  <c r="C713"/>
  <c r="F713" l="1"/>
  <c r="B714"/>
  <c r="D714"/>
  <c r="A714"/>
  <c r="E714" s="1"/>
  <c r="C714"/>
  <c r="C715" l="1"/>
  <c r="F714"/>
  <c r="B715"/>
  <c r="D715"/>
  <c r="A715"/>
  <c r="E715" s="1"/>
  <c r="C716" l="1"/>
  <c r="D716"/>
  <c r="A716"/>
  <c r="E716" s="1"/>
  <c r="F715"/>
  <c r="B716"/>
  <c r="F716" l="1"/>
  <c r="B717"/>
  <c r="C717"/>
  <c r="A717"/>
  <c r="E717" s="1"/>
  <c r="D717"/>
  <c r="A718" l="1"/>
  <c r="E718" s="1"/>
  <c r="F717"/>
  <c r="C718"/>
  <c r="B718"/>
  <c r="D718"/>
  <c r="C719" l="1"/>
  <c r="D719"/>
  <c r="A719"/>
  <c r="E719" s="1"/>
  <c r="B719"/>
  <c r="F718"/>
  <c r="F719" l="1"/>
  <c r="D720"/>
  <c r="B720"/>
  <c r="A720"/>
  <c r="E720" s="1"/>
  <c r="C720"/>
  <c r="A721" l="1"/>
  <c r="E721" s="1"/>
  <c r="F720"/>
  <c r="D721"/>
  <c r="C721"/>
  <c r="B721"/>
  <c r="D722" l="1"/>
  <c r="B722"/>
  <c r="C722"/>
  <c r="F721"/>
  <c r="A722"/>
  <c r="E722" s="1"/>
  <c r="B723" l="1"/>
  <c r="D723"/>
  <c r="F722"/>
  <c r="A723"/>
  <c r="E723" s="1"/>
  <c r="C723"/>
  <c r="D724" l="1"/>
  <c r="B724"/>
  <c r="A724"/>
  <c r="E724" s="1"/>
  <c r="F723"/>
  <c r="C724"/>
  <c r="C725" l="1"/>
  <c r="F724"/>
  <c r="D725"/>
  <c r="A725"/>
  <c r="E725" s="1"/>
  <c r="B725"/>
  <c r="D726" l="1"/>
  <c r="C726"/>
  <c r="A726"/>
  <c r="E726" s="1"/>
  <c r="F725"/>
  <c r="B726"/>
  <c r="F726" l="1"/>
  <c r="B727"/>
  <c r="C727"/>
  <c r="A727"/>
  <c r="E727" s="1"/>
  <c r="D727"/>
  <c r="C728" l="1"/>
  <c r="F727"/>
  <c r="B728"/>
  <c r="A728"/>
  <c r="E728" s="1"/>
  <c r="D728"/>
  <c r="A729" l="1"/>
  <c r="E729" s="1"/>
  <c r="D729"/>
  <c r="F728"/>
  <c r="B729"/>
  <c r="C729"/>
  <c r="B730" l="1"/>
  <c r="C730"/>
  <c r="D730"/>
  <c r="F729"/>
  <c r="A730"/>
  <c r="E730" s="1"/>
  <c r="D731" l="1"/>
  <c r="A731"/>
  <c r="E731" s="1"/>
  <c r="B731"/>
  <c r="C731"/>
  <c r="F730"/>
  <c r="B732" l="1"/>
  <c r="D732"/>
  <c r="F731"/>
  <c r="A732"/>
  <c r="E732" s="1"/>
  <c r="C732"/>
  <c r="F732" l="1"/>
  <c r="B733"/>
  <c r="C733"/>
  <c r="A733"/>
  <c r="E733" s="1"/>
  <c r="D733"/>
  <c r="B734" l="1"/>
  <c r="C734"/>
  <c r="D734"/>
  <c r="A734"/>
  <c r="E734" s="1"/>
  <c r="F733"/>
  <c r="F734" l="1"/>
  <c r="C735"/>
  <c r="B735"/>
  <c r="D735"/>
  <c r="A735"/>
  <c r="E735" s="1"/>
  <c r="C736" l="1"/>
  <c r="D736"/>
  <c r="F735"/>
  <c r="B736"/>
  <c r="A736"/>
  <c r="E736" s="1"/>
  <c r="C737" l="1"/>
  <c r="F736"/>
  <c r="B737"/>
  <c r="D737"/>
  <c r="A737"/>
  <c r="E737" s="1"/>
  <c r="F737" l="1"/>
  <c r="D738"/>
  <c r="B738"/>
  <c r="C738"/>
  <c r="A738"/>
  <c r="E738" s="1"/>
  <c r="D739" l="1"/>
  <c r="B739"/>
  <c r="C739"/>
  <c r="F738"/>
  <c r="A739"/>
  <c r="E739" s="1"/>
  <c r="B740" l="1"/>
  <c r="D740"/>
  <c r="F739"/>
  <c r="C740"/>
  <c r="A740"/>
  <c r="E740" s="1"/>
  <c r="A741" l="1"/>
  <c r="E741" s="1"/>
  <c r="B741"/>
  <c r="D741"/>
  <c r="F740"/>
  <c r="C741"/>
  <c r="F741" l="1"/>
  <c r="B742"/>
  <c r="A742"/>
  <c r="E742" s="1"/>
  <c r="D742"/>
  <c r="C742"/>
  <c r="B743" l="1"/>
  <c r="F742"/>
  <c r="D743"/>
  <c r="C743"/>
  <c r="A743"/>
  <c r="E743" s="1"/>
  <c r="C744" l="1"/>
  <c r="D744"/>
  <c r="A744"/>
  <c r="E744" s="1"/>
  <c r="B744"/>
  <c r="F743"/>
  <c r="B745" l="1"/>
  <c r="D745"/>
  <c r="C745"/>
  <c r="A745"/>
  <c r="E745" s="1"/>
  <c r="F744"/>
  <c r="B746" l="1"/>
  <c r="C746"/>
  <c r="F745"/>
  <c r="D746"/>
  <c r="A746"/>
  <c r="E746" s="1"/>
  <c r="F746" l="1"/>
  <c r="D747"/>
  <c r="A747"/>
  <c r="E747" s="1"/>
  <c r="C747"/>
  <c r="B747"/>
  <c r="A748" l="1"/>
  <c r="E748" s="1"/>
  <c r="C748"/>
  <c r="F747"/>
  <c r="D748"/>
  <c r="B748"/>
  <c r="D749" l="1"/>
  <c r="F748"/>
  <c r="A749"/>
  <c r="E749" s="1"/>
  <c r="C749"/>
  <c r="B749"/>
  <c r="B750" l="1"/>
  <c r="F749"/>
  <c r="D750"/>
  <c r="C750"/>
  <c r="A750"/>
  <c r="E750" s="1"/>
  <c r="A751" l="1"/>
  <c r="E751" s="1"/>
  <c r="C751"/>
  <c r="B751"/>
  <c r="D751"/>
  <c r="F750"/>
  <c r="A752" l="1"/>
  <c r="E752" s="1"/>
  <c r="F751"/>
  <c r="D752"/>
  <c r="B752"/>
  <c r="C752"/>
  <c r="F752" l="1"/>
  <c r="B753"/>
  <c r="C753"/>
  <c r="A753"/>
  <c r="E753" s="1"/>
  <c r="D753"/>
  <c r="C754" l="1"/>
  <c r="A754"/>
  <c r="E754" s="1"/>
  <c r="B754"/>
  <c r="F753"/>
  <c r="D754"/>
  <c r="A755" l="1"/>
  <c r="E755" s="1"/>
  <c r="C755"/>
  <c r="D755"/>
  <c r="F754"/>
  <c r="B755"/>
  <c r="B756" l="1"/>
  <c r="C756"/>
  <c r="A756"/>
  <c r="E756" s="1"/>
  <c r="F755"/>
  <c r="D756"/>
  <c r="F756" l="1"/>
  <c r="B757"/>
  <c r="C757"/>
  <c r="D757"/>
  <c r="A757"/>
  <c r="E757" s="1"/>
  <c r="D758" l="1"/>
  <c r="C758"/>
  <c r="A758"/>
  <c r="E758" s="1"/>
  <c r="B758"/>
  <c r="F757"/>
  <c r="C759" l="1"/>
  <c r="A759"/>
  <c r="E759" s="1"/>
  <c r="F758"/>
  <c r="B759"/>
  <c r="D759"/>
  <c r="D760" l="1"/>
  <c r="B760"/>
  <c r="A760"/>
  <c r="E760" s="1"/>
  <c r="F759"/>
  <c r="C760"/>
  <c r="B761" l="1"/>
  <c r="F760"/>
  <c r="C761"/>
  <c r="D761"/>
  <c r="A761"/>
  <c r="E761" s="1"/>
  <c r="B762" l="1"/>
  <c r="D762"/>
  <c r="F761"/>
  <c r="A762"/>
  <c r="E762" s="1"/>
  <c r="C762"/>
  <c r="F762" l="1"/>
  <c r="C763"/>
  <c r="B763"/>
  <c r="A763"/>
  <c r="E763" s="1"/>
  <c r="D763"/>
  <c r="C764" l="1"/>
  <c r="B764"/>
  <c r="D764"/>
  <c r="A764"/>
  <c r="E764" s="1"/>
  <c r="F763"/>
  <c r="C765" l="1"/>
  <c r="F764"/>
  <c r="B765"/>
  <c r="D765"/>
  <c r="A765"/>
  <c r="E765" s="1"/>
  <c r="A766" l="1"/>
  <c r="E766" s="1"/>
  <c r="D766"/>
  <c r="F765"/>
  <c r="B766"/>
  <c r="C766"/>
  <c r="B767" l="1"/>
  <c r="D767"/>
  <c r="A767"/>
  <c r="E767" s="1"/>
  <c r="F766"/>
  <c r="C767"/>
  <c r="B768" l="1"/>
  <c r="F767"/>
  <c r="C768"/>
  <c r="A768"/>
  <c r="E768" s="1"/>
  <c r="D768"/>
  <c r="F768" l="1"/>
  <c r="A769"/>
  <c r="E769" s="1"/>
  <c r="D769"/>
  <c r="B769"/>
  <c r="C769"/>
  <c r="A770" l="1"/>
  <c r="E770" s="1"/>
  <c r="B770"/>
  <c r="F769"/>
  <c r="D770"/>
  <c r="C770"/>
  <c r="F770" l="1"/>
  <c r="B771"/>
  <c r="A771"/>
  <c r="E771" s="1"/>
  <c r="C771"/>
  <c r="D771"/>
  <c r="D772" l="1"/>
  <c r="A772"/>
  <c r="E772" s="1"/>
  <c r="F771"/>
  <c r="B772"/>
  <c r="C772"/>
  <c r="A773" l="1"/>
  <c r="E773" s="1"/>
  <c r="C773"/>
  <c r="D773"/>
  <c r="B773"/>
  <c r="F772"/>
  <c r="F773" l="1"/>
  <c r="C774"/>
  <c r="B774"/>
  <c r="D774"/>
  <c r="A774"/>
  <c r="E774" s="1"/>
  <c r="C775" l="1"/>
  <c r="D775"/>
  <c r="F774"/>
  <c r="B775"/>
  <c r="A775"/>
  <c r="E775" s="1"/>
  <c r="C776" l="1"/>
  <c r="D776"/>
  <c r="B776"/>
  <c r="A776"/>
  <c r="E776" s="1"/>
  <c r="F775"/>
  <c r="F776" l="1"/>
  <c r="C777"/>
  <c r="A777"/>
  <c r="E777" s="1"/>
  <c r="B777"/>
  <c r="D777"/>
  <c r="F777" l="1"/>
  <c r="B778"/>
  <c r="D778"/>
  <c r="A778"/>
  <c r="E778" s="1"/>
  <c r="C778"/>
  <c r="F778" l="1"/>
  <c r="B779"/>
  <c r="C779"/>
  <c r="A779"/>
  <c r="E779" s="1"/>
  <c r="D779"/>
  <c r="D780" l="1"/>
  <c r="A780"/>
  <c r="E780" s="1"/>
  <c r="F779"/>
  <c r="B780"/>
  <c r="C780"/>
  <c r="D781" l="1"/>
  <c r="C781"/>
  <c r="A781"/>
  <c r="E781" s="1"/>
  <c r="F780"/>
  <c r="B781"/>
  <c r="C782" l="1"/>
  <c r="D782"/>
  <c r="B782"/>
  <c r="A782"/>
  <c r="E782" s="1"/>
  <c r="F781"/>
  <c r="D783" l="1"/>
  <c r="A783"/>
  <c r="E783" s="1"/>
  <c r="C783"/>
  <c r="F782"/>
  <c r="B783"/>
  <c r="D784" l="1"/>
  <c r="B784"/>
  <c r="C784"/>
  <c r="A784"/>
  <c r="E784" s="1"/>
  <c r="F783"/>
  <c r="A785" l="1"/>
  <c r="E785" s="1"/>
  <c r="D785"/>
  <c r="F784"/>
  <c r="C785"/>
  <c r="B785"/>
  <c r="F785" l="1"/>
  <c r="B786"/>
  <c r="A786"/>
  <c r="E786" s="1"/>
  <c r="C786"/>
  <c r="D786"/>
  <c r="D787" l="1"/>
  <c r="B787"/>
  <c r="F786"/>
  <c r="C787"/>
  <c r="A787"/>
  <c r="E787" s="1"/>
  <c r="D788" l="1"/>
  <c r="F787"/>
  <c r="B788"/>
  <c r="A788"/>
  <c r="E788" s="1"/>
  <c r="C788"/>
  <c r="D789" l="1"/>
  <c r="F788"/>
  <c r="A789"/>
  <c r="E789" s="1"/>
  <c r="C789"/>
  <c r="B789"/>
  <c r="C790" l="1"/>
  <c r="A790"/>
  <c r="E790" s="1"/>
  <c r="D790"/>
  <c r="F789"/>
  <c r="B790"/>
  <c r="C791" l="1"/>
  <c r="B791"/>
  <c r="F790"/>
  <c r="D791"/>
  <c r="A791"/>
  <c r="E791" s="1"/>
  <c r="D792" l="1"/>
  <c r="B792"/>
  <c r="A792"/>
  <c r="E792" s="1"/>
  <c r="F791"/>
  <c r="C792"/>
  <c r="B793" l="1"/>
  <c r="A793"/>
  <c r="E793" s="1"/>
  <c r="F792"/>
  <c r="D793"/>
  <c r="C793"/>
  <c r="D794" l="1"/>
  <c r="B794"/>
  <c r="A794"/>
  <c r="E794" s="1"/>
  <c r="C794"/>
  <c r="F793"/>
  <c r="B795" l="1"/>
  <c r="A795"/>
  <c r="E795" s="1"/>
  <c r="C795"/>
  <c r="F794"/>
  <c r="D795"/>
  <c r="C796" l="1"/>
  <c r="F795"/>
  <c r="D796"/>
  <c r="B796"/>
  <c r="A796"/>
  <c r="E796" s="1"/>
  <c r="C797" l="1"/>
  <c r="F796"/>
  <c r="A797"/>
  <c r="E797" s="1"/>
  <c r="B797"/>
  <c r="D797"/>
  <c r="F797" l="1"/>
  <c r="C798"/>
  <c r="B798"/>
  <c r="A798"/>
  <c r="E798" s="1"/>
  <c r="D798"/>
  <c r="A799" l="1"/>
  <c r="E799" s="1"/>
  <c r="B799"/>
  <c r="D799"/>
  <c r="F798"/>
  <c r="C799"/>
  <c r="F799" l="1"/>
  <c r="D800"/>
  <c r="C800"/>
  <c r="A800"/>
  <c r="E800" s="1"/>
  <c r="B800"/>
  <c r="D801" l="1"/>
  <c r="C801"/>
  <c r="A801"/>
  <c r="E801" s="1"/>
  <c r="F800"/>
  <c r="B801"/>
  <c r="F801" l="1"/>
  <c r="C802"/>
  <c r="B802"/>
  <c r="D802"/>
  <c r="A802"/>
  <c r="E802" s="1"/>
  <c r="D803" l="1"/>
  <c r="A803"/>
  <c r="E803" s="1"/>
  <c r="F802"/>
  <c r="C803"/>
  <c r="B803"/>
  <c r="A804" l="1"/>
  <c r="E804" s="1"/>
  <c r="B804"/>
  <c r="F803"/>
  <c r="D804"/>
  <c r="C804"/>
  <c r="B805" l="1"/>
  <c r="F804"/>
  <c r="C805"/>
  <c r="D805"/>
  <c r="A805"/>
  <c r="E805" s="1"/>
  <c r="A806" l="1"/>
  <c r="E806" s="1"/>
  <c r="B806"/>
  <c r="F805"/>
  <c r="C806"/>
  <c r="D806"/>
  <c r="A807" l="1"/>
  <c r="E807" s="1"/>
  <c r="F806"/>
  <c r="C807"/>
  <c r="D807"/>
  <c r="B807"/>
  <c r="F807" l="1"/>
  <c r="A808"/>
  <c r="E808" s="1"/>
  <c r="C808"/>
  <c r="B808"/>
  <c r="D808"/>
  <c r="B809" l="1"/>
  <c r="D809"/>
  <c r="C809"/>
  <c r="A809"/>
  <c r="E809" s="1"/>
  <c r="F808"/>
  <c r="F809" l="1"/>
  <c r="A810"/>
  <c r="E810" s="1"/>
  <c r="D810"/>
  <c r="C810"/>
  <c r="B810"/>
  <c r="C811" l="1"/>
  <c r="D811"/>
  <c r="F810"/>
  <c r="B811"/>
  <c r="A811"/>
  <c r="E811" s="1"/>
  <c r="F811" l="1"/>
  <c r="C812"/>
  <c r="B812"/>
  <c r="D812"/>
  <c r="A812"/>
  <c r="E812" s="1"/>
  <c r="F812" l="1"/>
  <c r="B813"/>
  <c r="D813"/>
  <c r="A813"/>
  <c r="E813" s="1"/>
  <c r="C813"/>
  <c r="F813" l="1"/>
  <c r="D814"/>
  <c r="B814"/>
  <c r="A814"/>
  <c r="E814" s="1"/>
  <c r="C814"/>
  <c r="D815" l="1"/>
  <c r="A815"/>
  <c r="E815" s="1"/>
  <c r="B815"/>
  <c r="C815"/>
  <c r="F814"/>
  <c r="F815" l="1"/>
  <c r="B816"/>
  <c r="A816"/>
  <c r="E816" s="1"/>
  <c r="C816"/>
  <c r="D816"/>
  <c r="B817" l="1"/>
  <c r="A817"/>
  <c r="E817" s="1"/>
  <c r="D817"/>
  <c r="F816"/>
  <c r="C817"/>
  <c r="F817" l="1"/>
  <c r="A818"/>
  <c r="E818" s="1"/>
  <c r="B818"/>
  <c r="D818"/>
  <c r="C818"/>
  <c r="A819" l="1"/>
  <c r="E819" s="1"/>
  <c r="F818"/>
  <c r="D819"/>
  <c r="C819"/>
  <c r="B819"/>
  <c r="C820" l="1"/>
  <c r="F819"/>
  <c r="A820"/>
  <c r="E820" s="1"/>
  <c r="B820"/>
  <c r="D820"/>
  <c r="C821" l="1"/>
  <c r="F820"/>
  <c r="A821"/>
  <c r="E821" s="1"/>
  <c r="D821"/>
  <c r="B821"/>
  <c r="B822" l="1"/>
  <c r="F821"/>
  <c r="A822"/>
  <c r="E822" s="1"/>
  <c r="C822"/>
  <c r="D822"/>
  <c r="F822" l="1"/>
  <c r="A823"/>
  <c r="E823" s="1"/>
  <c r="B823"/>
  <c r="C823"/>
  <c r="D823"/>
  <c r="D824" l="1"/>
  <c r="B824"/>
  <c r="F823"/>
  <c r="C824"/>
  <c r="A824"/>
  <c r="E824" s="1"/>
  <c r="C825" l="1"/>
  <c r="F824"/>
  <c r="B825"/>
  <c r="A825"/>
  <c r="E825" s="1"/>
  <c r="D825"/>
  <c r="C826" l="1"/>
  <c r="F825"/>
  <c r="A826"/>
  <c r="E826" s="1"/>
  <c r="D826"/>
  <c r="B826"/>
  <c r="B827" l="1"/>
  <c r="A827"/>
  <c r="E827" s="1"/>
  <c r="D827"/>
  <c r="C827"/>
  <c r="F826"/>
  <c r="A828" l="1"/>
  <c r="E828" s="1"/>
  <c r="B828"/>
  <c r="C828"/>
  <c r="F827"/>
  <c r="D828"/>
  <c r="D829" l="1"/>
  <c r="C829"/>
  <c r="F828"/>
  <c r="B829"/>
  <c r="A829"/>
  <c r="E829" s="1"/>
  <c r="A830" l="1"/>
  <c r="E830" s="1"/>
  <c r="F829"/>
  <c r="D830"/>
  <c r="B830"/>
  <c r="C830"/>
  <c r="C831" l="1"/>
  <c r="A831"/>
  <c r="E831" s="1"/>
  <c r="D831"/>
  <c r="F830"/>
  <c r="B831"/>
  <c r="F831" l="1"/>
  <c r="B832"/>
  <c r="D832"/>
  <c r="C832"/>
  <c r="A832"/>
  <c r="E832" s="1"/>
  <c r="A833" l="1"/>
  <c r="E833" s="1"/>
  <c r="B833"/>
  <c r="F832"/>
  <c r="C833"/>
  <c r="D833"/>
  <c r="A834" l="1"/>
  <c r="E834" s="1"/>
  <c r="C834"/>
  <c r="F833"/>
  <c r="B834"/>
  <c r="D834"/>
  <c r="B835" l="1"/>
  <c r="F834"/>
  <c r="D835"/>
  <c r="C835"/>
  <c r="A835"/>
  <c r="E835" s="1"/>
  <c r="D836" l="1"/>
  <c r="B836"/>
  <c r="C836"/>
  <c r="A836"/>
  <c r="E836" s="1"/>
  <c r="F835"/>
  <c r="A837" l="1"/>
  <c r="E837" s="1"/>
  <c r="C837"/>
  <c r="B837"/>
  <c r="D837"/>
  <c r="F836"/>
  <c r="A838" l="1"/>
  <c r="E838" s="1"/>
  <c r="F837"/>
  <c r="C838"/>
  <c r="D838"/>
  <c r="B838"/>
  <c r="D839" l="1"/>
  <c r="F838"/>
  <c r="C839"/>
  <c r="B839"/>
  <c r="A839"/>
  <c r="E839" s="1"/>
  <c r="D840" l="1"/>
  <c r="C840"/>
  <c r="B840"/>
  <c r="A840"/>
  <c r="E840" s="1"/>
  <c r="F839"/>
  <c r="B841" l="1"/>
  <c r="C841"/>
  <c r="A841"/>
  <c r="E841" s="1"/>
  <c r="D841"/>
  <c r="F840"/>
  <c r="A842" l="1"/>
  <c r="E842" s="1"/>
  <c r="B842"/>
  <c r="C842"/>
  <c r="F841"/>
  <c r="D842"/>
  <c r="A843" l="1"/>
  <c r="E843" s="1"/>
  <c r="D843"/>
  <c r="C843"/>
  <c r="F842"/>
  <c r="B843"/>
  <c r="D844" l="1"/>
  <c r="C844"/>
  <c r="F843"/>
  <c r="B844"/>
  <c r="A844"/>
  <c r="E844" s="1"/>
  <c r="A845" l="1"/>
  <c r="E845" s="1"/>
  <c r="D845"/>
  <c r="F844"/>
  <c r="B845"/>
  <c r="C845"/>
  <c r="A846" l="1"/>
  <c r="E846" s="1"/>
  <c r="D846"/>
  <c r="B846"/>
  <c r="F845"/>
  <c r="C846"/>
  <c r="A847" l="1"/>
  <c r="E847" s="1"/>
  <c r="D847"/>
  <c r="F846"/>
  <c r="B847"/>
  <c r="C847"/>
  <c r="B848" l="1"/>
  <c r="A848"/>
  <c r="E848" s="1"/>
  <c r="C848"/>
  <c r="F847"/>
  <c r="D848"/>
  <c r="F848" l="1"/>
  <c r="A849"/>
  <c r="E849" s="1"/>
  <c r="C849"/>
  <c r="D849"/>
  <c r="B849"/>
  <c r="F849" l="1"/>
  <c r="A850"/>
  <c r="E850" s="1"/>
  <c r="C850"/>
  <c r="B850"/>
  <c r="D850"/>
  <c r="B851" l="1"/>
  <c r="A851"/>
  <c r="E851" s="1"/>
  <c r="C851"/>
  <c r="D851"/>
  <c r="F850"/>
  <c r="D852" l="1"/>
  <c r="F851"/>
  <c r="C852"/>
  <c r="B852"/>
  <c r="A852"/>
  <c r="E852" s="1"/>
  <c r="D853" l="1"/>
  <c r="A853"/>
  <c r="E853" s="1"/>
  <c r="B853"/>
  <c r="F852"/>
  <c r="C853"/>
  <c r="F853" l="1"/>
  <c r="B854"/>
  <c r="A854"/>
  <c r="E854" s="1"/>
  <c r="C854"/>
  <c r="D854"/>
  <c r="B855" l="1"/>
  <c r="C855"/>
  <c r="D855"/>
  <c r="A855"/>
  <c r="E855" s="1"/>
  <c r="F854"/>
  <c r="C856" l="1"/>
  <c r="F855"/>
  <c r="B856"/>
  <c r="A856"/>
  <c r="E856" s="1"/>
  <c r="D856"/>
  <c r="F856" l="1"/>
  <c r="B857"/>
  <c r="D857"/>
  <c r="C857"/>
  <c r="A857"/>
  <c r="E857" s="1"/>
  <c r="C858" l="1"/>
  <c r="F857"/>
  <c r="A858"/>
  <c r="E858" s="1"/>
  <c r="B858"/>
  <c r="D858"/>
  <c r="C859" l="1"/>
  <c r="B859"/>
  <c r="D859"/>
  <c r="A859"/>
  <c r="E859" s="1"/>
  <c r="F858"/>
  <c r="C860" l="1"/>
  <c r="F859"/>
  <c r="D860"/>
  <c r="B860"/>
  <c r="A860"/>
  <c r="E860" s="1"/>
  <c r="C861" l="1"/>
  <c r="F860"/>
  <c r="D861"/>
  <c r="A861"/>
  <c r="E861" s="1"/>
  <c r="B861"/>
  <c r="F861" l="1"/>
  <c r="C862"/>
  <c r="B862"/>
  <c r="A862"/>
  <c r="E862" s="1"/>
  <c r="D862"/>
  <c r="F862" l="1"/>
  <c r="A863"/>
  <c r="E863" s="1"/>
  <c r="C863"/>
  <c r="B863"/>
  <c r="D863"/>
  <c r="F863" l="1"/>
  <c r="A864"/>
  <c r="E864" s="1"/>
  <c r="D864"/>
  <c r="B864"/>
  <c r="C864"/>
  <c r="C865" l="1"/>
  <c r="D865"/>
  <c r="A865"/>
  <c r="E865" s="1"/>
  <c r="F864"/>
  <c r="B865"/>
  <c r="F865" l="1"/>
  <c r="C866"/>
  <c r="A866"/>
  <c r="E866" s="1"/>
  <c r="B866"/>
  <c r="D866"/>
  <c r="A867" l="1"/>
  <c r="E867" s="1"/>
  <c r="B867"/>
  <c r="D867"/>
  <c r="F866"/>
  <c r="C867"/>
  <c r="D868" l="1"/>
  <c r="C868"/>
  <c r="F867"/>
  <c r="A868"/>
  <c r="E868" s="1"/>
  <c r="B868"/>
  <c r="D869" l="1"/>
  <c r="C869"/>
  <c r="F868"/>
  <c r="A869"/>
  <c r="E869" s="1"/>
  <c r="B869"/>
  <c r="B870" l="1"/>
  <c r="C870"/>
  <c r="D870"/>
  <c r="F869"/>
  <c r="A870"/>
  <c r="E870" s="1"/>
  <c r="C871" l="1"/>
  <c r="D871"/>
  <c r="A871"/>
  <c r="E871" s="1"/>
  <c r="B871"/>
  <c r="F870"/>
  <c r="C872" l="1"/>
  <c r="B872"/>
  <c r="F871"/>
  <c r="A872"/>
  <c r="E872" s="1"/>
  <c r="D872"/>
  <c r="B873" l="1"/>
  <c r="F872"/>
  <c r="D873"/>
  <c r="C873"/>
  <c r="A873"/>
  <c r="E873" s="1"/>
  <c r="F873" l="1"/>
  <c r="B874"/>
  <c r="A874"/>
  <c r="E874" s="1"/>
  <c r="D874"/>
  <c r="C874"/>
  <c r="F874" l="1"/>
  <c r="D875"/>
  <c r="C875"/>
  <c r="B875"/>
  <c r="A875"/>
  <c r="E875" s="1"/>
  <c r="F875" l="1"/>
  <c r="B876"/>
  <c r="D876"/>
  <c r="A876"/>
  <c r="E876" s="1"/>
  <c r="C876"/>
  <c r="C877" l="1"/>
  <c r="D877"/>
  <c r="B877"/>
  <c r="A877"/>
  <c r="E877" s="1"/>
  <c r="F876"/>
  <c r="F877" l="1"/>
  <c r="A878"/>
  <c r="E878" s="1"/>
  <c r="B878"/>
  <c r="C878"/>
  <c r="D878"/>
  <c r="A879" l="1"/>
  <c r="E879" s="1"/>
  <c r="F878"/>
  <c r="B879"/>
  <c r="D879"/>
  <c r="C879"/>
  <c r="A880" l="1"/>
  <c r="E880" s="1"/>
  <c r="F879"/>
  <c r="B880"/>
  <c r="C880"/>
  <c r="D880"/>
  <c r="B881" l="1"/>
  <c r="C881"/>
  <c r="D881"/>
  <c r="A881"/>
  <c r="E881" s="1"/>
  <c r="F880"/>
  <c r="D882" l="1"/>
  <c r="C882"/>
  <c r="F881"/>
  <c r="B882"/>
  <c r="A882"/>
  <c r="E882" s="1"/>
  <c r="B883" l="1"/>
  <c r="F882"/>
  <c r="A883"/>
  <c r="E883" s="1"/>
  <c r="D883"/>
  <c r="C883"/>
  <c r="B884" l="1"/>
  <c r="D884"/>
  <c r="F883"/>
  <c r="A884"/>
  <c r="E884" s="1"/>
  <c r="C884"/>
  <c r="A885" l="1"/>
  <c r="E885" s="1"/>
  <c r="C885"/>
  <c r="F884"/>
  <c r="B885"/>
  <c r="D885"/>
  <c r="C886" l="1"/>
  <c r="F885"/>
  <c r="A886"/>
  <c r="E886" s="1"/>
  <c r="B886"/>
  <c r="D886"/>
  <c r="C887" l="1"/>
  <c r="F886"/>
  <c r="D887"/>
  <c r="B887"/>
  <c r="A887"/>
  <c r="E887" s="1"/>
  <c r="C888" l="1"/>
  <c r="D888"/>
  <c r="A888"/>
  <c r="E888" s="1"/>
  <c r="F887"/>
  <c r="B888"/>
  <c r="F888" l="1"/>
  <c r="C889"/>
  <c r="A889"/>
  <c r="E889" s="1"/>
  <c r="B889"/>
  <c r="D889"/>
  <c r="B890" l="1"/>
  <c r="F889"/>
  <c r="A890"/>
  <c r="E890" s="1"/>
  <c r="D890"/>
  <c r="C890"/>
  <c r="D891" l="1"/>
  <c r="B891"/>
  <c r="C891"/>
  <c r="F890"/>
  <c r="A891"/>
  <c r="E891" s="1"/>
  <c r="A892" l="1"/>
  <c r="E892" s="1"/>
  <c r="C892"/>
  <c r="B892"/>
  <c r="D892"/>
  <c r="F891"/>
  <c r="B893" l="1"/>
  <c r="F892"/>
  <c r="D893"/>
  <c r="A893"/>
  <c r="E893" s="1"/>
  <c r="C893"/>
  <c r="A894" l="1"/>
  <c r="E894" s="1"/>
  <c r="F893"/>
  <c r="D894"/>
  <c r="C894"/>
  <c r="B894"/>
  <c r="D895" l="1"/>
  <c r="C895"/>
  <c r="F894"/>
  <c r="A895"/>
  <c r="E895" s="1"/>
  <c r="B895"/>
  <c r="D896" l="1"/>
  <c r="B896"/>
  <c r="F895"/>
  <c r="A896"/>
  <c r="E896" s="1"/>
  <c r="C896"/>
  <c r="F896" l="1"/>
  <c r="D897"/>
  <c r="C897"/>
  <c r="A897"/>
  <c r="E897" s="1"/>
  <c r="B897"/>
  <c r="F897" l="1"/>
  <c r="C898"/>
  <c r="D898"/>
  <c r="A898"/>
  <c r="E898" s="1"/>
  <c r="B898"/>
  <c r="C899" l="1"/>
  <c r="D899"/>
  <c r="F898"/>
  <c r="A899"/>
  <c r="E899" s="1"/>
  <c r="B899"/>
  <c r="F899" l="1"/>
  <c r="D900"/>
  <c r="C900"/>
  <c r="A900"/>
  <c r="E900" s="1"/>
  <c r="B900"/>
  <c r="A901" l="1"/>
  <c r="E901" s="1"/>
  <c r="B901"/>
  <c r="F900"/>
  <c r="C901"/>
  <c r="D901"/>
  <c r="D902" l="1"/>
  <c r="A902"/>
  <c r="E902" s="1"/>
  <c r="C902"/>
  <c r="F901"/>
  <c r="B902"/>
  <c r="B903" l="1"/>
  <c r="F902"/>
  <c r="A903"/>
  <c r="E903" s="1"/>
  <c r="C903"/>
  <c r="D903"/>
  <c r="F903" l="1"/>
  <c r="D904"/>
  <c r="C904"/>
  <c r="A904"/>
  <c r="E904" s="1"/>
  <c r="B904"/>
  <c r="F904" l="1"/>
  <c r="B905"/>
  <c r="C905"/>
  <c r="A905"/>
  <c r="E905" s="1"/>
  <c r="D905"/>
  <c r="A906" l="1"/>
  <c r="E906" s="1"/>
  <c r="F905"/>
  <c r="D906"/>
  <c r="B906"/>
  <c r="C906"/>
  <c r="C907" l="1"/>
  <c r="B907"/>
  <c r="A907"/>
  <c r="E907" s="1"/>
  <c r="F906"/>
  <c r="D907"/>
  <c r="B908" l="1"/>
  <c r="C908"/>
  <c r="D908"/>
  <c r="A908"/>
  <c r="E908" s="1"/>
  <c r="F907"/>
  <c r="B909" l="1"/>
  <c r="D909"/>
  <c r="A909"/>
  <c r="E909" s="1"/>
  <c r="C909"/>
  <c r="F908"/>
  <c r="D910" l="1"/>
  <c r="C910"/>
  <c r="A910"/>
  <c r="E910" s="1"/>
  <c r="F909"/>
  <c r="B910"/>
  <c r="C911" l="1"/>
  <c r="B911"/>
  <c r="F910"/>
  <c r="D911"/>
  <c r="A911"/>
  <c r="E911" s="1"/>
  <c r="D912" l="1"/>
  <c r="F911"/>
  <c r="C912"/>
  <c r="A912"/>
  <c r="E912" s="1"/>
  <c r="B912"/>
  <c r="D913" l="1"/>
  <c r="B913"/>
  <c r="F912"/>
  <c r="C913"/>
  <c r="A913"/>
  <c r="E913" s="1"/>
  <c r="D914" l="1"/>
  <c r="B914"/>
  <c r="F913"/>
  <c r="C914"/>
  <c r="A914"/>
  <c r="E914" s="1"/>
  <c r="D915" l="1"/>
  <c r="A915"/>
  <c r="E915" s="1"/>
  <c r="B915"/>
  <c r="C915"/>
  <c r="F914"/>
  <c r="B916" l="1"/>
  <c r="C916"/>
  <c r="D916"/>
  <c r="A916"/>
  <c r="E916" s="1"/>
  <c r="F915"/>
  <c r="C917" l="1"/>
  <c r="A917"/>
  <c r="E917" s="1"/>
  <c r="F916"/>
  <c r="B917"/>
  <c r="D917"/>
  <c r="B918" l="1"/>
  <c r="A918"/>
  <c r="E918" s="1"/>
  <c r="F917"/>
  <c r="D918"/>
  <c r="C918"/>
  <c r="D919" l="1"/>
  <c r="C919"/>
  <c r="F918"/>
  <c r="B919"/>
  <c r="A919"/>
  <c r="E919" s="1"/>
  <c r="F919" l="1"/>
  <c r="D920"/>
  <c r="A920"/>
  <c r="E920" s="1"/>
  <c r="B920"/>
  <c r="C920"/>
  <c r="C921" l="1"/>
  <c r="F920"/>
  <c r="B921"/>
  <c r="A921"/>
  <c r="E921" s="1"/>
  <c r="D921"/>
  <c r="D922" l="1"/>
  <c r="C922"/>
  <c r="B922"/>
  <c r="F921"/>
  <c r="A922"/>
  <c r="E922" s="1"/>
  <c r="B923" l="1"/>
  <c r="D923"/>
  <c r="F922"/>
  <c r="A923"/>
  <c r="E923" s="1"/>
  <c r="C923"/>
  <c r="D924" l="1"/>
  <c r="B924"/>
  <c r="A924"/>
  <c r="E924" s="1"/>
  <c r="C924"/>
  <c r="F923"/>
  <c r="F924" l="1"/>
  <c r="A925"/>
  <c r="E925" s="1"/>
  <c r="B925"/>
  <c r="C925"/>
  <c r="D925"/>
  <c r="F925" l="1"/>
  <c r="A926"/>
  <c r="E926" s="1"/>
  <c r="D926"/>
  <c r="C926"/>
  <c r="B926"/>
  <c r="D927" l="1"/>
  <c r="B927"/>
  <c r="C927"/>
  <c r="A927"/>
  <c r="E927" s="1"/>
  <c r="F926"/>
  <c r="B928" l="1"/>
  <c r="C928"/>
  <c r="A928"/>
  <c r="E928" s="1"/>
  <c r="D928"/>
  <c r="F927"/>
  <c r="F928" l="1"/>
  <c r="D929"/>
  <c r="C929"/>
  <c r="A929"/>
  <c r="E929" s="1"/>
  <c r="B929"/>
  <c r="C930" l="1"/>
  <c r="D930"/>
  <c r="B930"/>
  <c r="F929"/>
  <c r="A930"/>
  <c r="E930" s="1"/>
  <c r="A931" l="1"/>
  <c r="E931" s="1"/>
  <c r="F930"/>
  <c r="D931"/>
  <c r="C931"/>
  <c r="B931"/>
  <c r="F931" l="1"/>
  <c r="D932"/>
  <c r="B932"/>
  <c r="C932"/>
  <c r="A932"/>
  <c r="E932" s="1"/>
  <c r="B933" l="1"/>
  <c r="A933"/>
  <c r="E933" s="1"/>
  <c r="D933"/>
  <c r="F932"/>
  <c r="C933"/>
  <c r="B934" l="1"/>
  <c r="A934"/>
  <c r="E934" s="1"/>
  <c r="F933"/>
  <c r="C934"/>
  <c r="D934"/>
  <c r="B935" l="1"/>
  <c r="F934"/>
  <c r="A935"/>
  <c r="E935" s="1"/>
  <c r="C935"/>
  <c r="D935"/>
  <c r="D936" l="1"/>
  <c r="A936"/>
  <c r="E936" s="1"/>
  <c r="F935"/>
  <c r="C936"/>
  <c r="B936"/>
  <c r="C937" l="1"/>
  <c r="B937"/>
  <c r="F936"/>
  <c r="A937"/>
  <c r="E937" s="1"/>
  <c r="D937"/>
  <c r="C938" l="1"/>
  <c r="B938"/>
  <c r="D938"/>
  <c r="F937"/>
  <c r="A938"/>
  <c r="E938" s="1"/>
  <c r="B939" l="1"/>
  <c r="D939"/>
  <c r="A939"/>
  <c r="E939" s="1"/>
  <c r="F938"/>
  <c r="C939"/>
  <c r="F939" l="1"/>
  <c r="C940"/>
  <c r="A940"/>
  <c r="E940" s="1"/>
  <c r="D940"/>
  <c r="B940"/>
  <c r="D941" l="1"/>
  <c r="B941"/>
  <c r="C941"/>
  <c r="F940"/>
  <c r="A941"/>
  <c r="E941" s="1"/>
  <c r="A942" l="1"/>
  <c r="E942" s="1"/>
  <c r="D942"/>
  <c r="C942"/>
  <c r="F941"/>
  <c r="B942"/>
  <c r="F942" l="1"/>
  <c r="C943"/>
  <c r="D943"/>
  <c r="A943"/>
  <c r="E943" s="1"/>
  <c r="B943"/>
  <c r="B944" l="1"/>
  <c r="A944"/>
  <c r="E944" s="1"/>
  <c r="F943"/>
  <c r="D944"/>
  <c r="C944"/>
  <c r="C945" l="1"/>
  <c r="D945"/>
  <c r="B945"/>
  <c r="A945"/>
  <c r="E945" s="1"/>
  <c r="F944"/>
  <c r="B946" l="1"/>
  <c r="F945"/>
  <c r="C946"/>
  <c r="A946"/>
  <c r="E946" s="1"/>
  <c r="D946"/>
  <c r="F946" l="1"/>
  <c r="A947"/>
  <c r="E947" s="1"/>
  <c r="C947"/>
  <c r="B947"/>
  <c r="D947"/>
  <c r="F947" l="1"/>
  <c r="B948"/>
  <c r="C948"/>
  <c r="D948"/>
  <c r="A948"/>
  <c r="E948" s="1"/>
  <c r="A949" l="1"/>
  <c r="E949" s="1"/>
  <c r="D949"/>
  <c r="C949"/>
  <c r="B949"/>
  <c r="F948"/>
  <c r="F949" l="1"/>
  <c r="A950"/>
  <c r="E950" s="1"/>
  <c r="B950"/>
  <c r="D950"/>
  <c r="C950"/>
  <c r="C951" l="1"/>
  <c r="A951"/>
  <c r="E951" s="1"/>
  <c r="D951"/>
  <c r="F950"/>
  <c r="B951"/>
  <c r="A952" l="1"/>
  <c r="E952" s="1"/>
  <c r="C952"/>
  <c r="F951"/>
  <c r="D952"/>
  <c r="B952"/>
  <c r="A953" l="1"/>
  <c r="E953" s="1"/>
  <c r="F952"/>
  <c r="B953"/>
  <c r="D953"/>
  <c r="C953"/>
  <c r="B954" l="1"/>
  <c r="C954"/>
  <c r="F953"/>
  <c r="D954"/>
  <c r="A954"/>
  <c r="E954" s="1"/>
  <c r="A955" l="1"/>
  <c r="E955" s="1"/>
  <c r="C955"/>
  <c r="D955"/>
  <c r="B955"/>
  <c r="F954"/>
  <c r="B956" l="1"/>
  <c r="C956"/>
  <c r="D956"/>
  <c r="F955"/>
  <c r="A956"/>
  <c r="E956" s="1"/>
  <c r="D957" l="1"/>
  <c r="A957"/>
  <c r="E957" s="1"/>
  <c r="B957"/>
  <c r="F956"/>
  <c r="C957"/>
  <c r="B958" l="1"/>
  <c r="A958"/>
  <c r="E958" s="1"/>
  <c r="F957"/>
  <c r="C958"/>
  <c r="D958"/>
  <c r="D959" l="1"/>
  <c r="B959"/>
  <c r="C959"/>
  <c r="A959"/>
  <c r="E959" s="1"/>
  <c r="F958"/>
  <c r="D960" l="1"/>
  <c r="B960"/>
  <c r="A960"/>
  <c r="E960" s="1"/>
  <c r="F959"/>
  <c r="C960"/>
  <c r="A961" l="1"/>
  <c r="E961" s="1"/>
  <c r="C961"/>
  <c r="D961"/>
  <c r="B961"/>
  <c r="F960"/>
  <c r="B962" l="1"/>
  <c r="A962"/>
  <c r="E962" s="1"/>
  <c r="C962"/>
  <c r="D962"/>
  <c r="F961"/>
  <c r="F962" l="1"/>
  <c r="D963"/>
  <c r="C963"/>
  <c r="A963"/>
  <c r="E963" s="1"/>
  <c r="B963"/>
  <c r="A964" l="1"/>
  <c r="E964" s="1"/>
  <c r="B964"/>
  <c r="D964"/>
  <c r="C964"/>
  <c r="F963"/>
  <c r="A965" l="1"/>
  <c r="E965" s="1"/>
  <c r="C965"/>
  <c r="D965"/>
  <c r="B965"/>
  <c r="F964"/>
  <c r="F965" l="1"/>
  <c r="A966"/>
  <c r="E966" s="1"/>
  <c r="C966"/>
  <c r="B966"/>
  <c r="D966"/>
  <c r="D967" l="1"/>
  <c r="F966"/>
  <c r="A967"/>
  <c r="E967" s="1"/>
  <c r="B967"/>
  <c r="C967"/>
  <c r="F967" l="1"/>
  <c r="D968"/>
  <c r="C968"/>
  <c r="A968"/>
  <c r="E968" s="1"/>
  <c r="B968"/>
  <c r="A969" l="1"/>
  <c r="E969" s="1"/>
  <c r="B969"/>
  <c r="C969"/>
  <c r="F968"/>
  <c r="D969"/>
  <c r="C970" l="1"/>
  <c r="B970"/>
  <c r="A970"/>
  <c r="E970" s="1"/>
  <c r="D970"/>
  <c r="F969"/>
  <c r="C971" l="1"/>
  <c r="A971"/>
  <c r="E971" s="1"/>
  <c r="D971"/>
  <c r="F970"/>
  <c r="B971"/>
  <c r="A972" l="1"/>
  <c r="E972" s="1"/>
  <c r="D972"/>
  <c r="C972"/>
  <c r="F971"/>
  <c r="B972"/>
  <c r="F972" l="1"/>
  <c r="C973"/>
  <c r="D973"/>
  <c r="A973"/>
  <c r="E973" s="1"/>
  <c r="B973"/>
  <c r="B974" l="1"/>
  <c r="F973"/>
  <c r="C974"/>
  <c r="D974"/>
  <c r="A974"/>
  <c r="E974" s="1"/>
  <c r="D975" l="1"/>
  <c r="C975"/>
  <c r="F974"/>
  <c r="A975"/>
  <c r="E975" s="1"/>
  <c r="B975"/>
  <c r="D976" l="1"/>
  <c r="A976"/>
  <c r="E976" s="1"/>
  <c r="F975"/>
  <c r="C976"/>
  <c r="B976"/>
  <c r="A977" l="1"/>
  <c r="E977" s="1"/>
  <c r="D977"/>
  <c r="B977"/>
  <c r="F976"/>
  <c r="C977"/>
  <c r="F977" l="1"/>
  <c r="C978"/>
  <c r="B978"/>
  <c r="A978"/>
  <c r="E978" s="1"/>
  <c r="D978"/>
  <c r="D979" l="1"/>
  <c r="C979"/>
  <c r="A979"/>
  <c r="E979" s="1"/>
  <c r="F978"/>
  <c r="B979"/>
  <c r="A980" l="1"/>
  <c r="E980" s="1"/>
  <c r="D980"/>
  <c r="B980"/>
  <c r="F979"/>
  <c r="C980"/>
  <c r="D981" l="1"/>
  <c r="A981"/>
  <c r="E981" s="1"/>
  <c r="F980"/>
  <c r="B981"/>
  <c r="C981"/>
  <c r="F981" l="1"/>
  <c r="C982"/>
  <c r="A982"/>
  <c r="E982" s="1"/>
  <c r="B982"/>
  <c r="D982"/>
  <c r="D983" l="1"/>
  <c r="C983"/>
  <c r="F982"/>
  <c r="A983"/>
  <c r="E983" s="1"/>
  <c r="B983"/>
  <c r="F983" l="1"/>
  <c r="B984"/>
  <c r="D984"/>
  <c r="C984"/>
  <c r="A984"/>
  <c r="E984" s="1"/>
  <c r="B985" l="1"/>
  <c r="F984"/>
  <c r="C985"/>
  <c r="D985"/>
  <c r="A985"/>
  <c r="E985" s="1"/>
  <c r="C986" l="1"/>
  <c r="A986"/>
  <c r="E986" s="1"/>
  <c r="D986"/>
  <c r="F985"/>
  <c r="B986"/>
  <c r="F986" l="1"/>
  <c r="A987"/>
  <c r="E987" s="1"/>
  <c r="C987"/>
  <c r="B987"/>
  <c r="D987"/>
  <c r="A988" l="1"/>
  <c r="E988" s="1"/>
  <c r="C988"/>
  <c r="F987"/>
  <c r="D988"/>
  <c r="B988"/>
  <c r="D989" l="1"/>
  <c r="A989"/>
  <c r="E989" s="1"/>
  <c r="F988"/>
  <c r="C989"/>
  <c r="B989"/>
  <c r="C990" l="1"/>
  <c r="A990"/>
  <c r="E990" s="1"/>
  <c r="F989"/>
  <c r="B990"/>
  <c r="D990"/>
  <c r="B991" l="1"/>
  <c r="A991"/>
  <c r="E991" s="1"/>
  <c r="D991"/>
  <c r="F990"/>
  <c r="C991"/>
  <c r="B992" l="1"/>
  <c r="C992"/>
  <c r="D992"/>
  <c r="F991"/>
  <c r="A992"/>
  <c r="E992" s="1"/>
  <c r="C993" l="1"/>
  <c r="B993"/>
  <c r="D993"/>
  <c r="A993"/>
  <c r="E993" s="1"/>
  <c r="F992"/>
  <c r="A994" l="1"/>
  <c r="E994" s="1"/>
  <c r="B994"/>
  <c r="C994"/>
  <c r="F993"/>
  <c r="D994"/>
  <c r="C995" l="1"/>
  <c r="D995"/>
  <c r="F994"/>
  <c r="B995"/>
  <c r="A995"/>
  <c r="E995" s="1"/>
  <c r="C996" l="1"/>
  <c r="D996"/>
  <c r="B996"/>
  <c r="A996"/>
  <c r="E996" s="1"/>
  <c r="F995"/>
  <c r="C997" l="1"/>
  <c r="F996"/>
  <c r="A997"/>
  <c r="E997" s="1"/>
  <c r="B997"/>
  <c r="D997"/>
  <c r="F997" l="1"/>
  <c r="C998"/>
  <c r="A998"/>
  <c r="E998" s="1"/>
  <c r="D998"/>
  <c r="B998"/>
  <c r="B999" l="1"/>
  <c r="F998"/>
  <c r="C999"/>
  <c r="D999"/>
  <c r="A999"/>
  <c r="E999" s="1"/>
  <c r="A1000" l="1"/>
  <c r="E1000" s="1"/>
  <c r="C1000"/>
  <c r="F999"/>
  <c r="D1000"/>
  <c r="B1000"/>
  <c r="B1001" l="1"/>
  <c r="A1001"/>
  <c r="E1001" s="1"/>
  <c r="D1001"/>
  <c r="C1001"/>
  <c r="F1000"/>
  <c r="A1002" l="1"/>
  <c r="E1002" s="1"/>
  <c r="D1002"/>
  <c r="C1002"/>
  <c r="B1002"/>
  <c r="F1001"/>
  <c r="A1003" l="1"/>
  <c r="E1003" s="1"/>
  <c r="D1003"/>
  <c r="C1003"/>
  <c r="B1003"/>
  <c r="F1002"/>
  <c r="B1004" l="1"/>
  <c r="C1004"/>
  <c r="F1003"/>
  <c r="D1004"/>
  <c r="A1004"/>
  <c r="E1004" s="1"/>
  <c r="D1005" l="1"/>
  <c r="B1005"/>
  <c r="F1004"/>
  <c r="C1005"/>
  <c r="A1005"/>
  <c r="E1005" s="1"/>
  <c r="D1006" l="1"/>
  <c r="F1005"/>
  <c r="B1006"/>
  <c r="A1006"/>
  <c r="E1006" s="1"/>
  <c r="C1006"/>
  <c r="C1007" l="1"/>
  <c r="A1007"/>
  <c r="E1007" s="1"/>
  <c r="B1007"/>
  <c r="F1006"/>
  <c r="D1007"/>
  <c r="F1007" l="1"/>
  <c r="B1008"/>
  <c r="A1008"/>
  <c r="E1008" s="1"/>
  <c r="C1008"/>
  <c r="D1008"/>
  <c r="C1009" l="1"/>
  <c r="A1009"/>
  <c r="E1009" s="1"/>
  <c r="F1008"/>
  <c r="D1009"/>
  <c r="B1009"/>
  <c r="F1009" l="1"/>
  <c r="B1010"/>
  <c r="C1010"/>
  <c r="D1010"/>
  <c r="A1010"/>
  <c r="E1010" s="1"/>
  <c r="D1011" l="1"/>
  <c r="C1011"/>
  <c r="B1011"/>
  <c r="A1011"/>
  <c r="E1011" s="1"/>
  <c r="F1010"/>
  <c r="C1012" l="1"/>
  <c r="F1011"/>
  <c r="D1012"/>
  <c r="B1012"/>
  <c r="A1012"/>
  <c r="E1012" s="1"/>
  <c r="A1013" l="1"/>
  <c r="E1013" s="1"/>
  <c r="D1013"/>
  <c r="C1013"/>
  <c r="B1013"/>
  <c r="F1012"/>
  <c r="B1014" l="1"/>
  <c r="C1014"/>
  <c r="D1014"/>
  <c r="F1013"/>
  <c r="A1014"/>
  <c r="E1014" s="1"/>
  <c r="D1015" l="1"/>
  <c r="A1015"/>
  <c r="E1015" s="1"/>
  <c r="F1014"/>
  <c r="B1015"/>
  <c r="C1015"/>
  <c r="B1016" l="1"/>
  <c r="D1016"/>
  <c r="A1016"/>
  <c r="E1016" s="1"/>
  <c r="F1015"/>
  <c r="C1016"/>
  <c r="C1017" l="1"/>
  <c r="B1017"/>
  <c r="F1016"/>
  <c r="A1017"/>
  <c r="E1017" s="1"/>
  <c r="D1017"/>
  <c r="B1018" l="1"/>
  <c r="A1018"/>
  <c r="E1018" s="1"/>
  <c r="D1018"/>
  <c r="F1017"/>
  <c r="C1018"/>
  <c r="F1018" l="1"/>
  <c r="A1019"/>
  <c r="E1019" s="1"/>
  <c r="C1019"/>
  <c r="B1019"/>
  <c r="D1019"/>
  <c r="C1020" l="1"/>
  <c r="D1020"/>
  <c r="F1019"/>
  <c r="B1020"/>
  <c r="A1020"/>
  <c r="E1020" s="1"/>
  <c r="C1021" l="1"/>
  <c r="F1020"/>
  <c r="A1021"/>
  <c r="E1021" s="1"/>
  <c r="D1021"/>
  <c r="B1021"/>
  <c r="C1022" l="1"/>
  <c r="F1021"/>
  <c r="B1022"/>
  <c r="A1022"/>
  <c r="E1022" s="1"/>
  <c r="D1022"/>
  <c r="F1022" l="1"/>
  <c r="C1023"/>
  <c r="D1023"/>
  <c r="A1023"/>
  <c r="E1023" s="1"/>
  <c r="B1023"/>
  <c r="C1024" l="1"/>
  <c r="D1024"/>
  <c r="A1024"/>
  <c r="E1024" s="1"/>
  <c r="B1024"/>
  <c r="F1023"/>
  <c r="D1025" l="1"/>
  <c r="A1025"/>
  <c r="E1025" s="1"/>
  <c r="C1025"/>
  <c r="F1024"/>
  <c r="B1025"/>
  <c r="B1026" l="1"/>
  <c r="C1026"/>
  <c r="A1026"/>
  <c r="E1026" s="1"/>
  <c r="F1025"/>
  <c r="D1026"/>
  <c r="D1027" l="1"/>
  <c r="C1027"/>
  <c r="B1027"/>
  <c r="F1026"/>
  <c r="A1027"/>
  <c r="E1027" s="1"/>
  <c r="A1028" l="1"/>
  <c r="E1028" s="1"/>
  <c r="B1028"/>
  <c r="F1027"/>
  <c r="D1028"/>
  <c r="C1028"/>
  <c r="F1028" l="1"/>
  <c r="B1029"/>
  <c r="D1029"/>
  <c r="A1029"/>
  <c r="E1029" s="1"/>
  <c r="C1029"/>
  <c r="A1030" l="1"/>
  <c r="E1030" s="1"/>
  <c r="B1030"/>
  <c r="F1029"/>
  <c r="D1030"/>
  <c r="C1030"/>
  <c r="F1030" l="1"/>
  <c r="D1031"/>
  <c r="A1031"/>
  <c r="E1031" s="1"/>
  <c r="B1031"/>
  <c r="C1031"/>
  <c r="F1031" l="1"/>
  <c r="C1032"/>
  <c r="D1032"/>
  <c r="B1032"/>
  <c r="A1032"/>
  <c r="E1032" s="1"/>
  <c r="F1032" l="1"/>
  <c r="B1033"/>
  <c r="A1033"/>
  <c r="E1033" s="1"/>
  <c r="C1033"/>
  <c r="D1033"/>
  <c r="C1034" l="1"/>
  <c r="F1033"/>
  <c r="A1034"/>
  <c r="E1034" s="1"/>
  <c r="D1034"/>
  <c r="B1034"/>
  <c r="C1035" l="1"/>
  <c r="A1035"/>
  <c r="E1035" s="1"/>
  <c r="F1034"/>
  <c r="B1035"/>
  <c r="D1035"/>
  <c r="F1035" l="1"/>
  <c r="B1036"/>
  <c r="A1036"/>
  <c r="E1036" s="1"/>
  <c r="D1036"/>
  <c r="C1036"/>
  <c r="B1037" l="1"/>
  <c r="D1037"/>
  <c r="F1036"/>
  <c r="C1037"/>
  <c r="A1037"/>
  <c r="E1037" s="1"/>
  <c r="B1038" l="1"/>
  <c r="F1037"/>
  <c r="C1038"/>
  <c r="D1038"/>
  <c r="A1038"/>
  <c r="E1038" s="1"/>
  <c r="C1039" l="1"/>
  <c r="B1039"/>
  <c r="F1038"/>
  <c r="A1039"/>
  <c r="E1039" s="1"/>
  <c r="D1039"/>
  <c r="D1040" l="1"/>
  <c r="C1040"/>
  <c r="B1040"/>
  <c r="A1040"/>
  <c r="E1040" s="1"/>
  <c r="F1039"/>
  <c r="F1040" l="1"/>
  <c r="D1041"/>
  <c r="C1041"/>
  <c r="A1041"/>
  <c r="E1041" s="1"/>
  <c r="B1041"/>
  <c r="D1042" l="1"/>
  <c r="C1042"/>
  <c r="F1041"/>
  <c r="A1042"/>
  <c r="E1042" s="1"/>
  <c r="B1042"/>
  <c r="D1043" l="1"/>
  <c r="B1043"/>
  <c r="A1043"/>
  <c r="E1043" s="1"/>
  <c r="F1042"/>
  <c r="C1043"/>
  <c r="C1044" l="1"/>
  <c r="A1044"/>
  <c r="E1044" s="1"/>
  <c r="F1043"/>
  <c r="B1044"/>
  <c r="D1044"/>
  <c r="B1045" l="1"/>
  <c r="C1045"/>
  <c r="A1045"/>
  <c r="E1045" s="1"/>
  <c r="D1045"/>
  <c r="F1044"/>
  <c r="C1046" l="1"/>
  <c r="D1046"/>
  <c r="A1046"/>
  <c r="E1046" s="1"/>
  <c r="F1045"/>
  <c r="B1046"/>
  <c r="D1047" l="1"/>
  <c r="C1047"/>
  <c r="F1046"/>
  <c r="A1047"/>
  <c r="E1047" s="1"/>
  <c r="B1047"/>
  <c r="B1048" l="1"/>
  <c r="C1048"/>
  <c r="F1047"/>
  <c r="D1048"/>
  <c r="A1048"/>
  <c r="E1048" s="1"/>
  <c r="C1049" l="1"/>
  <c r="B1049"/>
  <c r="D1049"/>
  <c r="F1048"/>
  <c r="A1049"/>
  <c r="E1049" s="1"/>
  <c r="F1049" l="1"/>
  <c r="D1050"/>
  <c r="C1050"/>
  <c r="A1050"/>
  <c r="E1050" s="1"/>
  <c r="B1050"/>
  <c r="F1050" l="1"/>
  <c r="B1051"/>
  <c r="C1051"/>
  <c r="A1051"/>
  <c r="E1051" s="1"/>
  <c r="D1051"/>
  <c r="D1052" l="1"/>
  <c r="B1052"/>
  <c r="F1051"/>
  <c r="C1052"/>
  <c r="A1052"/>
  <c r="E1052" s="1"/>
  <c r="F1052" l="1"/>
  <c r="A1053"/>
  <c r="E1053" s="1"/>
  <c r="C1053"/>
  <c r="B1053"/>
  <c r="D1053"/>
  <c r="D1054" l="1"/>
  <c r="B1054"/>
  <c r="A1054"/>
  <c r="E1054" s="1"/>
  <c r="C1054"/>
  <c r="F1053"/>
  <c r="F1054" l="1"/>
  <c r="A1055"/>
  <c r="E1055" s="1"/>
  <c r="D1055"/>
  <c r="C1055"/>
  <c r="B1055"/>
  <c r="D1056" l="1"/>
  <c r="C1056"/>
  <c r="F1055"/>
  <c r="A1056"/>
  <c r="E1056" s="1"/>
  <c r="B1056"/>
  <c r="D1057" l="1"/>
  <c r="F1056"/>
  <c r="B1057"/>
  <c r="C1057"/>
  <c r="A1057"/>
  <c r="E1057" s="1"/>
  <c r="B1058" l="1"/>
  <c r="C1058"/>
  <c r="D1058"/>
  <c r="F1057"/>
  <c r="A1058"/>
  <c r="E1058" s="1"/>
  <c r="F1058" l="1"/>
  <c r="C1059"/>
  <c r="A1059"/>
  <c r="E1059" s="1"/>
  <c r="B1059"/>
  <c r="D1059"/>
  <c r="D1060" l="1"/>
  <c r="A1060"/>
  <c r="E1060" s="1"/>
  <c r="B1060"/>
  <c r="F1059"/>
  <c r="C1060"/>
  <c r="D1061" l="1"/>
  <c r="F1060"/>
  <c r="C1061"/>
  <c r="B1061"/>
  <c r="A1061"/>
  <c r="E1061" s="1"/>
  <c r="A1062" l="1"/>
  <c r="E1062" s="1"/>
  <c r="B1062"/>
  <c r="D1062"/>
  <c r="F1061"/>
  <c r="C1062"/>
  <c r="D1063" l="1"/>
  <c r="F1062"/>
  <c r="B1063"/>
  <c r="A1063"/>
  <c r="E1063" s="1"/>
  <c r="C1063"/>
  <c r="C1064" l="1"/>
  <c r="B1064"/>
  <c r="D1064"/>
  <c r="F1063"/>
  <c r="A1064"/>
  <c r="E1064" s="1"/>
  <c r="D1065" l="1"/>
  <c r="C1065"/>
  <c r="A1065"/>
  <c r="E1065" s="1"/>
  <c r="B1065"/>
  <c r="F1064"/>
  <c r="D1066" l="1"/>
  <c r="F1065"/>
  <c r="C1066"/>
  <c r="B1066"/>
  <c r="A1066"/>
  <c r="E1066" s="1"/>
  <c r="C1067" l="1"/>
  <c r="D1067"/>
  <c r="F1066"/>
  <c r="B1067"/>
  <c r="A1067"/>
  <c r="E1067" s="1"/>
  <c r="D1068" l="1"/>
  <c r="A1068"/>
  <c r="E1068" s="1"/>
  <c r="B1068"/>
  <c r="C1068"/>
  <c r="F1067"/>
  <c r="A1069" l="1"/>
  <c r="E1069" s="1"/>
  <c r="C1069"/>
  <c r="D1069"/>
  <c r="B1069"/>
  <c r="F1068"/>
  <c r="D1070" l="1"/>
  <c r="F1069"/>
  <c r="A1070"/>
  <c r="E1070" s="1"/>
  <c r="B1070"/>
  <c r="C1070"/>
  <c r="A1071" l="1"/>
  <c r="E1071" s="1"/>
  <c r="C1071"/>
  <c r="B1071"/>
  <c r="D1071"/>
  <c r="F1070"/>
  <c r="D1072" l="1"/>
  <c r="B1072"/>
  <c r="C1072"/>
  <c r="A1072"/>
  <c r="E1072" s="1"/>
  <c r="F1071"/>
  <c r="A1073" l="1"/>
  <c r="E1073" s="1"/>
  <c r="C1073"/>
  <c r="B1073"/>
  <c r="D1073"/>
  <c r="F1072"/>
  <c r="F1073" l="1"/>
  <c r="D1074"/>
  <c r="C1074"/>
  <c r="A1074"/>
  <c r="E1074" s="1"/>
  <c r="B1074"/>
  <c r="A1075" l="1"/>
  <c r="E1075" s="1"/>
  <c r="B1075"/>
  <c r="D1075"/>
  <c r="F1074"/>
  <c r="C1075"/>
  <c r="A1076" l="1"/>
  <c r="E1076" s="1"/>
  <c r="D1076"/>
  <c r="C1076"/>
  <c r="B1076"/>
  <c r="F1075"/>
  <c r="A1077" l="1"/>
  <c r="E1077" s="1"/>
  <c r="F1076"/>
  <c r="C1077"/>
  <c r="D1077"/>
  <c r="B1077"/>
  <c r="A1078" l="1"/>
  <c r="E1078" s="1"/>
  <c r="F1077"/>
  <c r="C1078"/>
  <c r="B1078"/>
  <c r="D1078"/>
  <c r="F1078" l="1"/>
  <c r="D1079"/>
  <c r="B1079"/>
  <c r="C1079"/>
  <c r="A1079"/>
  <c r="E1079" s="1"/>
  <c r="D1080" l="1"/>
  <c r="C1080"/>
  <c r="A1080"/>
  <c r="E1080" s="1"/>
  <c r="F1079"/>
  <c r="B1080"/>
  <c r="A1081" l="1"/>
  <c r="E1081" s="1"/>
  <c r="C1081"/>
  <c r="F1080"/>
  <c r="B1081"/>
  <c r="D1081"/>
  <c r="A1082" l="1"/>
  <c r="E1082" s="1"/>
  <c r="B1082"/>
  <c r="F1081"/>
  <c r="D1082"/>
  <c r="C1082"/>
  <c r="B1083" l="1"/>
  <c r="A1083"/>
  <c r="E1083" s="1"/>
  <c r="D1083"/>
  <c r="C1083"/>
  <c r="F1082"/>
  <c r="F1083" l="1"/>
  <c r="B1084"/>
  <c r="C1084"/>
  <c r="A1084"/>
  <c r="E1084" s="1"/>
  <c r="D1084"/>
  <c r="A1085" l="1"/>
  <c r="E1085" s="1"/>
  <c r="B1085"/>
  <c r="D1085"/>
  <c r="C1085"/>
  <c r="F1084"/>
  <c r="A1086" l="1"/>
  <c r="E1086" s="1"/>
  <c r="C1086"/>
  <c r="D1086"/>
  <c r="B1086"/>
  <c r="F1085"/>
  <c r="F1086" l="1"/>
  <c r="C1087"/>
  <c r="A1087"/>
  <c r="E1087" s="1"/>
  <c r="D1087"/>
  <c r="B1087"/>
  <c r="A1088" l="1"/>
  <c r="E1088" s="1"/>
  <c r="C1088"/>
  <c r="F1087"/>
  <c r="D1088"/>
  <c r="B1088"/>
  <c r="A1089" l="1"/>
  <c r="E1089" s="1"/>
  <c r="D1089"/>
  <c r="B1089"/>
  <c r="F1088"/>
  <c r="C1089"/>
  <c r="D1090" l="1"/>
  <c r="A1090"/>
  <c r="E1090" s="1"/>
  <c r="B1090"/>
  <c r="C1090"/>
  <c r="F1089"/>
  <c r="B1091" l="1"/>
  <c r="C1091"/>
  <c r="D1091"/>
  <c r="F1090"/>
  <c r="A1091"/>
  <c r="E1091" s="1"/>
  <c r="F1091" l="1"/>
  <c r="A1092"/>
  <c r="E1092" s="1"/>
  <c r="C1092"/>
  <c r="D1092"/>
  <c r="B1092"/>
  <c r="A1093" l="1"/>
  <c r="E1093" s="1"/>
  <c r="B1093"/>
  <c r="D1093"/>
  <c r="F1092"/>
  <c r="C1093"/>
  <c r="A1094" l="1"/>
  <c r="E1094" s="1"/>
  <c r="C1094"/>
  <c r="D1094"/>
  <c r="F1093"/>
  <c r="B1094"/>
  <c r="D1095" l="1"/>
  <c r="F1094"/>
  <c r="B1095"/>
  <c r="C1095"/>
  <c r="A1095"/>
  <c r="E1095" s="1"/>
  <c r="D1096" l="1"/>
  <c r="F1095"/>
  <c r="C1096"/>
  <c r="A1096"/>
  <c r="E1096" s="1"/>
  <c r="B1096"/>
  <c r="D1097" l="1"/>
  <c r="F1096"/>
  <c r="C1097"/>
  <c r="A1097"/>
  <c r="E1097" s="1"/>
  <c r="B1097"/>
  <c r="B1098" l="1"/>
  <c r="D1098"/>
  <c r="C1098"/>
  <c r="F1097"/>
  <c r="A1098"/>
  <c r="E1098" s="1"/>
  <c r="A1099" l="1"/>
  <c r="E1099" s="1"/>
  <c r="B1099"/>
  <c r="D1099"/>
  <c r="C1099"/>
  <c r="F1098"/>
  <c r="A1100" l="1"/>
  <c r="E1100" s="1"/>
  <c r="C1100"/>
  <c r="B1100"/>
  <c r="F1099"/>
  <c r="D1100"/>
  <c r="B1101" l="1"/>
  <c r="F1100"/>
  <c r="C1101"/>
  <c r="A1101"/>
  <c r="E1101" s="1"/>
  <c r="D1101"/>
  <c r="F1101" l="1"/>
  <c r="B1102"/>
  <c r="C1102"/>
  <c r="D1102"/>
  <c r="A1102"/>
  <c r="E1102" s="1"/>
  <c r="B1103" l="1"/>
  <c r="D1103"/>
  <c r="F1102"/>
  <c r="A1103"/>
  <c r="E1103" s="1"/>
  <c r="C1103"/>
  <c r="B1104" l="1"/>
  <c r="C1104"/>
  <c r="A1104"/>
  <c r="E1104" s="1"/>
  <c r="F1103"/>
  <c r="D1104"/>
  <c r="A1105" l="1"/>
  <c r="E1105" s="1"/>
  <c r="D1105"/>
  <c r="B1105"/>
  <c r="F1104"/>
  <c r="C1105"/>
  <c r="A1106" l="1"/>
  <c r="E1106" s="1"/>
  <c r="D1106"/>
  <c r="C1106"/>
  <c r="B1106"/>
  <c r="F1105"/>
  <c r="B1107" l="1"/>
  <c r="A1107"/>
  <c r="E1107" s="1"/>
  <c r="D1107"/>
  <c r="F1106"/>
  <c r="C1107"/>
  <c r="B1108" l="1"/>
  <c r="F1107"/>
  <c r="D1108"/>
  <c r="A1108"/>
  <c r="E1108" s="1"/>
  <c r="C1108"/>
  <c r="B1109" l="1"/>
  <c r="A1109"/>
  <c r="E1109" s="1"/>
  <c r="D1109"/>
  <c r="C1109"/>
  <c r="F1108"/>
  <c r="F1109" l="1"/>
  <c r="B1110"/>
  <c r="D1110"/>
  <c r="C1110"/>
  <c r="A1110"/>
  <c r="E1110" s="1"/>
  <c r="A1111" l="1"/>
  <c r="E1111" s="1"/>
  <c r="C1111"/>
  <c r="B1111"/>
  <c r="D1111"/>
  <c r="F1110"/>
  <c r="A1112" l="1"/>
  <c r="E1112" s="1"/>
  <c r="C1112"/>
  <c r="B1112"/>
  <c r="F1111"/>
  <c r="D1112"/>
  <c r="F1112" l="1"/>
  <c r="B1113"/>
  <c r="A1113"/>
  <c r="E1113" s="1"/>
  <c r="D1113"/>
  <c r="C1113"/>
  <c r="A1114" l="1"/>
  <c r="E1114" s="1"/>
  <c r="D1114"/>
  <c r="F1113"/>
  <c r="C1114"/>
  <c r="B1114"/>
  <c r="A1115" l="1"/>
  <c r="E1115" s="1"/>
  <c r="D1115"/>
  <c r="F1114"/>
  <c r="C1115"/>
  <c r="B1115"/>
  <c r="A1116" l="1"/>
  <c r="E1116" s="1"/>
  <c r="C1116"/>
  <c r="B1116"/>
  <c r="D1116"/>
  <c r="F1115"/>
  <c r="C1117" l="1"/>
  <c r="B1117"/>
  <c r="D1117"/>
  <c r="F1116"/>
  <c r="A1117"/>
  <c r="E1117" s="1"/>
  <c r="D1118" l="1"/>
  <c r="C1118"/>
  <c r="A1118"/>
  <c r="E1118" s="1"/>
  <c r="B1118"/>
  <c r="F1117"/>
  <c r="B1119" l="1"/>
  <c r="C1119"/>
  <c r="A1119"/>
  <c r="E1119" s="1"/>
  <c r="F1118"/>
  <c r="D1119"/>
  <c r="B1120" l="1"/>
  <c r="A1120"/>
  <c r="E1120" s="1"/>
  <c r="F1119"/>
  <c r="D1120"/>
  <c r="C1120"/>
  <c r="F1120" l="1"/>
  <c r="A1121"/>
  <c r="E1121" s="1"/>
  <c r="C1121"/>
  <c r="B1121"/>
  <c r="D1121"/>
  <c r="C1122" l="1"/>
  <c r="B1122"/>
  <c r="F1121"/>
  <c r="D1122"/>
  <c r="A1122"/>
  <c r="E1122" s="1"/>
  <c r="D1123" l="1"/>
  <c r="A1123"/>
  <c r="E1123" s="1"/>
  <c r="F1122"/>
  <c r="C1123"/>
  <c r="B1123"/>
  <c r="D1124" l="1"/>
  <c r="A1124"/>
  <c r="E1124" s="1"/>
  <c r="B1124"/>
  <c r="C1124"/>
  <c r="F1123"/>
  <c r="F1124" l="1"/>
  <c r="D1125"/>
  <c r="A1125"/>
  <c r="E1125" s="1"/>
  <c r="B1125"/>
  <c r="C1125"/>
  <c r="F1125" l="1"/>
  <c r="C1126"/>
  <c r="D1126"/>
  <c r="B1126"/>
  <c r="A1126"/>
  <c r="E1126" s="1"/>
  <c r="D1127" l="1"/>
  <c r="C1127"/>
  <c r="F1126"/>
  <c r="B1127"/>
  <c r="A1127"/>
  <c r="E1127" s="1"/>
  <c r="A1128" l="1"/>
  <c r="E1128" s="1"/>
  <c r="C1128"/>
  <c r="F1127"/>
  <c r="D1128"/>
  <c r="B1128"/>
  <c r="A1129" l="1"/>
  <c r="E1129" s="1"/>
  <c r="C1129"/>
  <c r="B1129"/>
  <c r="F1128"/>
  <c r="D1129"/>
  <c r="D1130" l="1"/>
  <c r="B1130"/>
  <c r="C1130"/>
  <c r="A1130"/>
  <c r="E1130" s="1"/>
  <c r="F1129"/>
  <c r="A1131" l="1"/>
  <c r="E1131" s="1"/>
  <c r="B1131"/>
  <c r="D1131"/>
  <c r="F1130"/>
  <c r="C1131"/>
  <c r="B1132" l="1"/>
  <c r="F1131"/>
  <c r="A1132"/>
  <c r="E1132" s="1"/>
  <c r="C1132"/>
  <c r="D1132"/>
  <c r="B1133" l="1"/>
  <c r="F1132"/>
  <c r="C1133"/>
  <c r="A1133"/>
  <c r="E1133" s="1"/>
  <c r="D1133"/>
  <c r="B1134" l="1"/>
  <c r="F1133"/>
  <c r="D1134"/>
  <c r="A1134"/>
  <c r="E1134" s="1"/>
  <c r="C1134"/>
  <c r="A1135" l="1"/>
  <c r="E1135" s="1"/>
  <c r="F1134"/>
  <c r="D1135"/>
  <c r="B1135"/>
  <c r="C1135"/>
  <c r="D1136" l="1"/>
  <c r="F1135"/>
  <c r="C1136"/>
  <c r="B1136"/>
  <c r="A1136"/>
  <c r="E1136" s="1"/>
  <c r="B1137" l="1"/>
  <c r="A1137"/>
  <c r="E1137" s="1"/>
  <c r="D1137"/>
  <c r="C1137"/>
  <c r="F1136"/>
  <c r="F1137" l="1"/>
  <c r="C1138"/>
  <c r="D1138"/>
  <c r="B1138"/>
  <c r="A1138"/>
  <c r="E1138" s="1"/>
  <c r="D1139" l="1"/>
  <c r="C1139"/>
  <c r="A1139"/>
  <c r="E1139" s="1"/>
  <c r="F1138"/>
  <c r="B1139"/>
  <c r="A1140" l="1"/>
  <c r="E1140" s="1"/>
  <c r="B1140"/>
  <c r="C1140"/>
  <c r="F1139"/>
  <c r="D1140"/>
  <c r="D1141" l="1"/>
  <c r="F1140"/>
  <c r="C1141"/>
  <c r="A1141"/>
  <c r="E1141" s="1"/>
  <c r="B1141"/>
  <c r="B1142" l="1"/>
  <c r="D1142"/>
  <c r="C1142"/>
  <c r="F1141"/>
  <c r="A1142"/>
  <c r="E1142" s="1"/>
  <c r="D1143" l="1"/>
  <c r="B1143"/>
  <c r="A1143"/>
  <c r="E1143" s="1"/>
  <c r="C1143"/>
  <c r="F1142"/>
  <c r="C1144" l="1"/>
  <c r="F1143"/>
  <c r="D1144"/>
  <c r="B1144"/>
  <c r="A1144"/>
  <c r="E1144" s="1"/>
  <c r="C1145" l="1"/>
  <c r="F1144"/>
  <c r="D1145"/>
  <c r="A1145"/>
  <c r="E1145" s="1"/>
  <c r="B1145"/>
  <c r="D1146" l="1"/>
  <c r="F1145"/>
  <c r="A1146"/>
  <c r="E1146" s="1"/>
  <c r="B1146"/>
  <c r="C1146"/>
  <c r="D1147" l="1"/>
  <c r="C1147"/>
  <c r="A1147"/>
  <c r="E1147" s="1"/>
  <c r="F1146"/>
  <c r="B1147"/>
  <c r="D1148" l="1"/>
  <c r="B1148"/>
  <c r="F1147"/>
  <c r="A1148"/>
  <c r="E1148" s="1"/>
  <c r="C1148"/>
  <c r="D1149" l="1"/>
  <c r="F1148"/>
  <c r="C1149"/>
  <c r="A1149"/>
  <c r="E1149" s="1"/>
  <c r="B1149"/>
  <c r="A1150" l="1"/>
  <c r="E1150" s="1"/>
  <c r="D1150"/>
  <c r="C1150"/>
  <c r="B1150"/>
  <c r="F1149"/>
  <c r="D1151" l="1"/>
  <c r="A1151"/>
  <c r="E1151" s="1"/>
  <c r="B1151"/>
  <c r="F1150"/>
  <c r="C1151"/>
  <c r="A1152" l="1"/>
  <c r="E1152" s="1"/>
  <c r="F1151"/>
  <c r="D1152"/>
  <c r="B1152"/>
  <c r="C1152"/>
  <c r="F1152" l="1"/>
  <c r="C1153"/>
  <c r="A1153"/>
  <c r="E1153" s="1"/>
  <c r="D1153"/>
  <c r="B1153"/>
  <c r="B1154" l="1"/>
  <c r="D1154"/>
  <c r="C1154"/>
  <c r="F1153"/>
  <c r="A1154"/>
  <c r="E1154" s="1"/>
  <c r="F1154" l="1"/>
  <c r="D1155"/>
  <c r="A1155"/>
  <c r="E1155" s="1"/>
  <c r="B1155"/>
  <c r="C1155"/>
  <c r="B1156" l="1"/>
  <c r="F1155"/>
  <c r="A1156"/>
  <c r="E1156" s="1"/>
  <c r="D1156"/>
  <c r="C1156"/>
  <c r="A1157" l="1"/>
  <c r="E1157" s="1"/>
  <c r="F1156"/>
  <c r="B1157"/>
  <c r="C1157"/>
  <c r="D1157"/>
  <c r="D1158" l="1"/>
  <c r="B1158"/>
  <c r="F1157"/>
  <c r="C1158"/>
  <c r="A1158"/>
  <c r="E1158" s="1"/>
  <c r="D1159" l="1"/>
  <c r="B1159"/>
  <c r="A1159"/>
  <c r="E1159" s="1"/>
  <c r="F1158"/>
  <c r="C1159"/>
  <c r="D1160" l="1"/>
  <c r="A1160"/>
  <c r="E1160" s="1"/>
  <c r="B1160"/>
  <c r="C1160"/>
  <c r="F1159"/>
  <c r="D1161" l="1"/>
  <c r="C1161"/>
  <c r="A1161"/>
  <c r="E1161" s="1"/>
  <c r="B1161"/>
  <c r="F1160"/>
  <c r="A1162" l="1"/>
  <c r="E1162" s="1"/>
  <c r="B1162"/>
  <c r="C1162"/>
  <c r="D1162"/>
  <c r="F1161"/>
  <c r="F1162" l="1"/>
  <c r="C1163"/>
  <c r="D1163"/>
  <c r="A1163"/>
  <c r="E1163" s="1"/>
  <c r="B1163"/>
  <c r="C1164" l="1"/>
  <c r="A1164"/>
  <c r="E1164" s="1"/>
  <c r="B1164"/>
  <c r="D1164"/>
  <c r="F1163"/>
  <c r="B1165" l="1"/>
  <c r="F1164"/>
  <c r="C1165"/>
  <c r="A1165"/>
  <c r="E1165" s="1"/>
  <c r="D1165"/>
  <c r="F1165" l="1"/>
  <c r="B1166"/>
  <c r="C1166"/>
  <c r="D1166"/>
  <c r="A1166"/>
  <c r="E1166" s="1"/>
  <c r="A1167" l="1"/>
  <c r="E1167" s="1"/>
  <c r="D1167"/>
  <c r="B1167"/>
  <c r="C1167"/>
  <c r="F1166"/>
  <c r="B1168" l="1"/>
  <c r="A1168"/>
  <c r="E1168" s="1"/>
  <c r="F1167"/>
  <c r="C1168"/>
  <c r="D1168"/>
  <c r="B1169" l="1"/>
  <c r="D1169"/>
  <c r="C1169"/>
  <c r="F1168"/>
  <c r="A1169"/>
  <c r="E1169" s="1"/>
  <c r="B1170" l="1"/>
  <c r="D1170"/>
  <c r="F1169"/>
  <c r="A1170"/>
  <c r="E1170" s="1"/>
  <c r="C1170"/>
  <c r="F1170" l="1"/>
  <c r="D1171"/>
  <c r="B1171"/>
  <c r="A1171"/>
  <c r="E1171" s="1"/>
  <c r="C1171"/>
  <c r="F1171" l="1"/>
  <c r="A1172"/>
  <c r="E1172" s="1"/>
  <c r="D1172"/>
  <c r="B1172"/>
  <c r="C1172"/>
  <c r="B1173" l="1"/>
  <c r="D1173"/>
  <c r="C1173"/>
  <c r="A1173"/>
  <c r="E1173" s="1"/>
  <c r="F1172"/>
  <c r="F1173" l="1"/>
  <c r="C1174"/>
  <c r="D1174"/>
  <c r="B1174"/>
  <c r="A1174"/>
  <c r="E1174" s="1"/>
  <c r="A1175" l="1"/>
  <c r="E1175" s="1"/>
  <c r="B1175"/>
  <c r="D1175"/>
  <c r="F1174"/>
  <c r="C1175"/>
  <c r="F1175" l="1"/>
  <c r="A1176"/>
  <c r="E1176" s="1"/>
  <c r="C1176"/>
  <c r="D1176"/>
  <c r="B1176"/>
  <c r="F1176" l="1"/>
  <c r="C1177"/>
  <c r="B1177"/>
  <c r="D1177"/>
  <c r="A1177"/>
  <c r="E1177" s="1"/>
  <c r="F1177" l="1"/>
  <c r="B1178"/>
  <c r="D1178"/>
  <c r="A1178"/>
  <c r="E1178" s="1"/>
  <c r="C1178"/>
  <c r="B1179" l="1"/>
  <c r="C1179"/>
  <c r="F1178"/>
  <c r="A1179"/>
  <c r="E1179" s="1"/>
  <c r="D1179"/>
  <c r="F1179" l="1"/>
  <c r="A1180"/>
  <c r="E1180" s="1"/>
  <c r="D1180"/>
  <c r="B1180"/>
  <c r="C1180"/>
  <c r="C1181" l="1"/>
  <c r="F1180"/>
  <c r="A1181"/>
  <c r="E1181" s="1"/>
  <c r="D1181"/>
  <c r="B1181"/>
  <c r="C1182" l="1"/>
  <c r="A1182"/>
  <c r="E1182" s="1"/>
  <c r="B1182"/>
  <c r="F1181"/>
  <c r="D1182"/>
  <c r="D1183" l="1"/>
  <c r="B1183"/>
  <c r="F1182"/>
  <c r="C1183"/>
  <c r="A1183"/>
  <c r="E1183" s="1"/>
  <c r="B1184" l="1"/>
  <c r="F1183"/>
  <c r="A1184"/>
  <c r="E1184" s="1"/>
  <c r="C1184"/>
  <c r="D1184"/>
  <c r="B1185" l="1"/>
  <c r="D1185"/>
  <c r="A1185"/>
  <c r="E1185" s="1"/>
  <c r="C1185"/>
  <c r="F1184"/>
  <c r="F1185" l="1"/>
  <c r="B1186"/>
  <c r="A1186"/>
  <c r="E1186" s="1"/>
  <c r="D1186"/>
  <c r="C1186"/>
  <c r="D1187" l="1"/>
  <c r="B1187"/>
  <c r="C1187"/>
  <c r="A1187"/>
  <c r="E1187" s="1"/>
  <c r="F1186"/>
  <c r="C1188" l="1"/>
  <c r="B1188"/>
  <c r="A1188"/>
  <c r="E1188" s="1"/>
  <c r="D1188"/>
  <c r="F1187"/>
  <c r="D1189" l="1"/>
  <c r="F1188"/>
  <c r="B1189"/>
  <c r="C1189"/>
  <c r="A1189"/>
  <c r="E1189" s="1"/>
  <c r="B1190" l="1"/>
  <c r="A1190"/>
  <c r="E1190" s="1"/>
  <c r="F1189"/>
  <c r="C1190"/>
  <c r="D1190"/>
  <c r="F1190" l="1"/>
  <c r="B1191"/>
  <c r="C1191"/>
  <c r="D1191"/>
  <c r="A1191"/>
  <c r="E1191" s="1"/>
  <c r="C1192" l="1"/>
  <c r="A1192"/>
  <c r="E1192" s="1"/>
  <c r="B1192"/>
  <c r="F1191"/>
  <c r="D1192"/>
  <c r="F1192" l="1"/>
  <c r="C1193"/>
  <c r="D1193"/>
  <c r="A1193"/>
  <c r="E1193" s="1"/>
  <c r="B1193"/>
  <c r="D1194" l="1"/>
  <c r="B1194"/>
  <c r="C1194"/>
  <c r="F1193"/>
  <c r="A1194"/>
  <c r="E1194" s="1"/>
  <c r="B1195" l="1"/>
  <c r="D1195"/>
  <c r="C1195"/>
  <c r="F1194"/>
  <c r="A1195"/>
  <c r="E1195" s="1"/>
  <c r="A1196" l="1"/>
  <c r="E1196" s="1"/>
  <c r="F1195"/>
  <c r="C1196"/>
  <c r="B1196"/>
  <c r="D1196"/>
  <c r="D1197" l="1"/>
  <c r="F1196"/>
  <c r="A1197"/>
  <c r="E1197" s="1"/>
  <c r="C1197"/>
  <c r="B1197"/>
  <c r="C1198" l="1"/>
  <c r="D1198"/>
  <c r="A1198"/>
  <c r="E1198" s="1"/>
  <c r="F1197"/>
  <c r="B1198"/>
  <c r="A1199" l="1"/>
  <c r="E1199" s="1"/>
  <c r="F1198"/>
  <c r="B1199"/>
  <c r="C1199"/>
  <c r="D1199"/>
  <c r="A1200" l="1"/>
  <c r="E1200" s="1"/>
  <c r="B1200"/>
  <c r="F1199"/>
  <c r="C1200"/>
  <c r="D1200"/>
  <c r="B1201" l="1"/>
  <c r="D1201"/>
  <c r="C1201"/>
  <c r="F1200"/>
  <c r="A1201"/>
  <c r="E1201" s="1"/>
  <c r="D1202" l="1"/>
  <c r="A1202"/>
  <c r="E1202" s="1"/>
  <c r="B1202"/>
  <c r="F1201"/>
  <c r="C1202"/>
  <c r="B1203" l="1"/>
  <c r="A1203"/>
  <c r="E1203" s="1"/>
  <c r="F1202"/>
  <c r="C1203"/>
  <c r="D1203"/>
  <c r="C1204" l="1"/>
  <c r="A1204"/>
  <c r="E1204" s="1"/>
  <c r="B1204"/>
  <c r="D1204"/>
  <c r="F1203"/>
  <c r="B1205" l="1"/>
  <c r="D1205"/>
  <c r="F1204"/>
  <c r="A1205"/>
  <c r="E1205" s="1"/>
  <c r="C1205"/>
  <c r="A1206" l="1"/>
  <c r="E1206" s="1"/>
  <c r="C1206"/>
  <c r="F1205"/>
  <c r="B1206"/>
  <c r="D1206"/>
  <c r="B1207" l="1"/>
  <c r="F1206"/>
  <c r="A1207"/>
  <c r="E1207" s="1"/>
  <c r="C1207"/>
  <c r="D1207"/>
  <c r="A1208" l="1"/>
  <c r="E1208" s="1"/>
  <c r="D1208"/>
  <c r="F1207"/>
  <c r="B1208"/>
  <c r="C1208"/>
  <c r="C1209" l="1"/>
  <c r="D1209"/>
  <c r="F1208"/>
  <c r="A1209"/>
  <c r="E1209" s="1"/>
  <c r="B1209"/>
  <c r="B1210" l="1"/>
  <c r="C1210"/>
  <c r="D1210"/>
  <c r="A1210"/>
  <c r="E1210" s="1"/>
  <c r="F1209"/>
  <c r="A1211" l="1"/>
  <c r="E1211" s="1"/>
  <c r="B1211"/>
  <c r="C1211"/>
  <c r="F1210"/>
  <c r="D1211"/>
  <c r="C1212" l="1"/>
  <c r="F1211"/>
  <c r="A1212"/>
  <c r="E1212" s="1"/>
  <c r="B1212"/>
  <c r="D1212"/>
  <c r="A1213" l="1"/>
  <c r="E1213" s="1"/>
  <c r="C1213"/>
  <c r="D1213"/>
  <c r="F1212"/>
  <c r="B1213"/>
  <c r="B1214" l="1"/>
  <c r="F1213"/>
  <c r="D1214"/>
  <c r="A1214"/>
  <c r="E1214" s="1"/>
  <c r="C1214"/>
  <c r="A1215" l="1"/>
  <c r="E1215" s="1"/>
  <c r="D1215"/>
  <c r="B1215"/>
  <c r="C1215"/>
  <c r="F1214"/>
  <c r="D1216" l="1"/>
  <c r="F1215"/>
  <c r="C1216"/>
  <c r="B1216"/>
  <c r="A1216"/>
  <c r="E1216" s="1"/>
  <c r="A1217" l="1"/>
  <c r="E1217" s="1"/>
  <c r="F1216"/>
  <c r="D1217"/>
  <c r="C1217"/>
  <c r="B1217"/>
  <c r="A1218" l="1"/>
  <c r="E1218" s="1"/>
  <c r="C1218"/>
  <c r="B1218"/>
  <c r="F1217"/>
  <c r="D1218"/>
  <c r="D1219" l="1"/>
  <c r="B1219"/>
  <c r="A1219"/>
  <c r="E1219" s="1"/>
  <c r="F1218"/>
  <c r="C1219"/>
  <c r="A1220" l="1"/>
  <c r="E1220" s="1"/>
  <c r="D1220"/>
  <c r="B1220"/>
  <c r="C1220"/>
  <c r="F1219"/>
  <c r="C1221" l="1"/>
  <c r="D1221"/>
  <c r="F1220"/>
  <c r="B1221"/>
  <c r="A1221"/>
  <c r="E1221" s="1"/>
  <c r="C1222" l="1"/>
  <c r="F1221"/>
  <c r="A1222"/>
  <c r="E1222" s="1"/>
  <c r="B1222"/>
  <c r="D1222"/>
  <c r="B1223" l="1"/>
  <c r="D1223"/>
  <c r="F1222"/>
  <c r="A1223"/>
  <c r="E1223" s="1"/>
  <c r="C1223"/>
  <c r="F1223" l="1"/>
  <c r="B1224"/>
  <c r="D1224"/>
  <c r="C1224"/>
  <c r="A1224"/>
  <c r="E1224" s="1"/>
  <c r="A1225" l="1"/>
  <c r="E1225" s="1"/>
  <c r="F1224"/>
  <c r="B1225"/>
  <c r="D1225"/>
  <c r="C1225"/>
  <c r="D1226" l="1"/>
  <c r="B1226"/>
  <c r="A1226"/>
  <c r="E1226" s="1"/>
  <c r="C1226"/>
  <c r="F1225"/>
  <c r="F1226" l="1"/>
  <c r="A1227"/>
  <c r="E1227" s="1"/>
  <c r="C1227"/>
  <c r="D1227"/>
  <c r="B1227"/>
  <c r="B1228" l="1"/>
  <c r="A1228"/>
  <c r="E1228" s="1"/>
  <c r="F1227"/>
  <c r="C1228"/>
  <c r="D1228"/>
  <c r="A1229" l="1"/>
  <c r="E1229" s="1"/>
  <c r="D1229"/>
  <c r="F1228"/>
  <c r="B1229"/>
  <c r="C1229"/>
  <c r="D1230" l="1"/>
  <c r="F1229"/>
  <c r="B1230"/>
  <c r="A1230"/>
  <c r="E1230" s="1"/>
  <c r="C1230"/>
  <c r="B1231" l="1"/>
  <c r="C1231"/>
  <c r="F1230"/>
  <c r="D1231"/>
  <c r="A1231"/>
  <c r="E1231" s="1"/>
  <c r="A1232" l="1"/>
  <c r="E1232" s="1"/>
  <c r="C1232"/>
  <c r="B1232"/>
  <c r="D1232"/>
  <c r="F1231"/>
  <c r="F1232" l="1"/>
  <c r="C1233"/>
  <c r="A1233"/>
  <c r="E1233" s="1"/>
  <c r="B1233"/>
  <c r="D1233"/>
  <c r="F1233" l="1"/>
  <c r="D1234"/>
  <c r="A1234"/>
  <c r="E1234" s="1"/>
  <c r="C1234"/>
  <c r="B1234"/>
  <c r="D1235" l="1"/>
  <c r="F1234"/>
  <c r="B1235"/>
  <c r="C1235"/>
  <c r="A1235"/>
  <c r="E1235" s="1"/>
  <c r="B1236" l="1"/>
  <c r="C1236"/>
  <c r="F1235"/>
  <c r="A1236"/>
  <c r="E1236" s="1"/>
  <c r="D1236"/>
  <c r="B1237" l="1"/>
  <c r="A1237"/>
  <c r="E1237" s="1"/>
  <c r="F1236"/>
  <c r="C1237"/>
  <c r="D1237"/>
  <c r="F1237" l="1"/>
  <c r="B1238"/>
  <c r="D1238"/>
  <c r="C1238"/>
  <c r="A1238"/>
  <c r="E1238" s="1"/>
  <c r="B1239" l="1"/>
  <c r="D1239"/>
  <c r="A1239"/>
  <c r="E1239" s="1"/>
  <c r="F1238"/>
  <c r="C1239"/>
  <c r="C1240" l="1"/>
  <c r="B1240"/>
  <c r="F1239"/>
  <c r="D1240"/>
  <c r="A1240"/>
  <c r="E1240" s="1"/>
  <c r="A1241" l="1"/>
  <c r="E1241" s="1"/>
  <c r="C1241"/>
  <c r="F1240"/>
  <c r="D1241"/>
  <c r="B1241"/>
  <c r="F1241" l="1"/>
  <c r="B1242"/>
  <c r="C1242"/>
  <c r="A1242"/>
  <c r="E1242" s="1"/>
  <c r="D1242"/>
  <c r="F1242" l="1"/>
  <c r="A1243"/>
  <c r="E1243" s="1"/>
  <c r="D1243"/>
  <c r="C1243"/>
  <c r="B1243"/>
  <c r="F1243" l="1"/>
  <c r="D1244"/>
  <c r="B1244"/>
  <c r="A1244"/>
  <c r="E1244" s="1"/>
  <c r="C1244"/>
  <c r="A1245" l="1"/>
  <c r="E1245" s="1"/>
  <c r="D1245"/>
  <c r="B1245"/>
  <c r="F1244"/>
  <c r="C1245"/>
  <c r="D1246" l="1"/>
  <c r="A1246"/>
  <c r="E1246" s="1"/>
  <c r="B1246"/>
  <c r="C1246"/>
  <c r="F1245"/>
  <c r="C1247" l="1"/>
  <c r="A1247"/>
  <c r="E1247" s="1"/>
  <c r="B1247"/>
  <c r="F1246"/>
  <c r="D1247"/>
  <c r="A1248" l="1"/>
  <c r="E1248" s="1"/>
  <c r="D1248"/>
  <c r="B1248"/>
  <c r="F1247"/>
  <c r="C1248"/>
  <c r="C1249" l="1"/>
  <c r="B1249"/>
  <c r="F1248"/>
  <c r="A1249"/>
  <c r="E1249" s="1"/>
  <c r="D1249"/>
  <c r="F1249" l="1"/>
  <c r="B1250"/>
  <c r="A1250"/>
  <c r="E1250" s="1"/>
  <c r="D1250"/>
  <c r="C1250"/>
  <c r="A1251" l="1"/>
  <c r="E1251" s="1"/>
  <c r="D1251"/>
  <c r="F1250"/>
  <c r="B1251"/>
  <c r="C1251"/>
  <c r="A1252" l="1"/>
  <c r="E1252" s="1"/>
  <c r="B1252"/>
  <c r="D1252"/>
  <c r="C1252"/>
  <c r="F1251"/>
  <c r="A1253" l="1"/>
  <c r="E1253" s="1"/>
  <c r="C1253"/>
  <c r="F1252"/>
  <c r="D1253"/>
  <c r="B1253"/>
  <c r="C1254" l="1"/>
  <c r="F1253"/>
  <c r="A1254"/>
  <c r="E1254" s="1"/>
  <c r="D1254"/>
  <c r="B1254"/>
  <c r="C1255" l="1"/>
  <c r="F1254"/>
  <c r="B1255"/>
  <c r="A1255"/>
  <c r="E1255" s="1"/>
  <c r="D1255"/>
  <c r="C1256" l="1"/>
  <c r="A1256"/>
  <c r="E1256" s="1"/>
  <c r="F1255"/>
  <c r="B1256"/>
  <c r="D1256"/>
  <c r="A1257" l="1"/>
  <c r="E1257" s="1"/>
  <c r="D1257"/>
  <c r="B1257"/>
  <c r="C1257"/>
  <c r="F1256"/>
  <c r="A1258" l="1"/>
  <c r="E1258" s="1"/>
  <c r="F1257"/>
  <c r="C1258"/>
  <c r="B1258"/>
  <c r="D1258"/>
  <c r="C1259" l="1"/>
  <c r="A1259"/>
  <c r="E1259" s="1"/>
  <c r="D1259"/>
  <c r="B1259"/>
  <c r="F1258"/>
  <c r="B1260" l="1"/>
  <c r="F1259"/>
  <c r="A1260"/>
  <c r="E1260" s="1"/>
  <c r="C1260"/>
  <c r="D1260"/>
  <c r="A1261" l="1"/>
  <c r="E1261" s="1"/>
  <c r="F1260"/>
  <c r="C1261"/>
  <c r="D1261"/>
  <c r="B1261"/>
  <c r="A1262" l="1"/>
  <c r="E1262" s="1"/>
  <c r="C1262"/>
  <c r="D1262"/>
  <c r="F1261"/>
  <c r="B1262"/>
  <c r="A1263" l="1"/>
  <c r="E1263" s="1"/>
  <c r="F1262"/>
  <c r="C1263"/>
  <c r="D1263"/>
  <c r="B1263"/>
  <c r="D1264" l="1"/>
  <c r="F1263"/>
  <c r="C1264"/>
  <c r="B1264"/>
  <c r="A1264"/>
  <c r="E1264" s="1"/>
  <c r="A1265" l="1"/>
  <c r="E1265" s="1"/>
  <c r="F1264"/>
  <c r="D1265"/>
  <c r="C1265"/>
  <c r="B1265"/>
  <c r="C1266" l="1"/>
  <c r="B1266"/>
  <c r="D1266"/>
  <c r="F1265"/>
  <c r="A1266"/>
  <c r="E1266" s="1"/>
  <c r="A1267" l="1"/>
  <c r="E1267" s="1"/>
  <c r="D1267"/>
  <c r="F1266"/>
  <c r="B1267"/>
  <c r="C1267"/>
  <c r="D1268" l="1"/>
  <c r="A1268"/>
  <c r="E1268" s="1"/>
  <c r="F1267"/>
  <c r="C1268"/>
  <c r="B1268"/>
  <c r="A1269" l="1"/>
  <c r="E1269" s="1"/>
  <c r="D1269"/>
  <c r="F1268"/>
  <c r="B1269"/>
  <c r="C1269"/>
  <c r="B1270" l="1"/>
  <c r="A1270"/>
  <c r="E1270" s="1"/>
  <c r="F1269"/>
  <c r="D1270"/>
  <c r="C1270"/>
  <c r="D1271" l="1"/>
  <c r="F1270"/>
  <c r="C1271"/>
  <c r="A1271"/>
  <c r="E1271" s="1"/>
  <c r="B1271"/>
  <c r="D1272" l="1"/>
  <c r="A1272"/>
  <c r="E1272" s="1"/>
  <c r="B1272"/>
  <c r="C1272"/>
  <c r="F1271"/>
  <c r="A1273" l="1"/>
  <c r="E1273" s="1"/>
  <c r="D1273"/>
  <c r="B1273"/>
  <c r="C1273"/>
  <c r="F1272"/>
  <c r="B1274" l="1"/>
  <c r="D1274"/>
  <c r="F1273"/>
  <c r="C1274"/>
  <c r="A1274"/>
  <c r="E1274" s="1"/>
  <c r="F1274" l="1"/>
  <c r="B1275"/>
  <c r="C1275"/>
  <c r="A1275"/>
  <c r="E1275" s="1"/>
  <c r="D1275"/>
  <c r="D1276" l="1"/>
  <c r="A1276"/>
  <c r="E1276" s="1"/>
  <c r="F1275"/>
  <c r="B1276"/>
  <c r="C1276"/>
  <c r="F1276" l="1"/>
  <c r="B1277"/>
  <c r="C1277"/>
  <c r="D1277"/>
  <c r="A1277"/>
  <c r="E1277" s="1"/>
  <c r="A1278" l="1"/>
  <c r="E1278" s="1"/>
  <c r="D1278"/>
  <c r="C1278"/>
  <c r="B1278"/>
  <c r="F1277"/>
  <c r="B1279" l="1"/>
  <c r="D1279"/>
  <c r="F1278"/>
  <c r="A1279"/>
  <c r="E1279" s="1"/>
  <c r="C1279"/>
  <c r="C1280" l="1"/>
  <c r="D1280"/>
  <c r="A1280"/>
  <c r="E1280" s="1"/>
  <c r="F1279"/>
  <c r="B1280"/>
  <c r="A1281" l="1"/>
  <c r="E1281" s="1"/>
  <c r="C1281"/>
  <c r="D1281"/>
  <c r="F1280"/>
  <c r="B1281"/>
  <c r="A1282" l="1"/>
  <c r="E1282" s="1"/>
  <c r="B1282"/>
  <c r="D1282"/>
  <c r="C1282"/>
  <c r="F1281"/>
  <c r="B1283" l="1"/>
  <c r="A1283"/>
  <c r="E1283" s="1"/>
  <c r="C1283"/>
  <c r="F1282"/>
  <c r="D1283"/>
  <c r="F1283" l="1"/>
  <c r="C1284"/>
  <c r="B1284"/>
  <c r="D1284"/>
  <c r="A1284"/>
  <c r="E1284" s="1"/>
  <c r="D1285" l="1"/>
  <c r="C1285"/>
  <c r="A1285"/>
  <c r="E1285" s="1"/>
  <c r="B1285"/>
  <c r="F1284"/>
  <c r="B1286" l="1"/>
  <c r="C1286"/>
  <c r="D1286"/>
  <c r="A1286"/>
  <c r="E1286" s="1"/>
  <c r="F1285"/>
  <c r="C1287" l="1"/>
  <c r="A1287"/>
  <c r="E1287" s="1"/>
  <c r="F1286"/>
  <c r="D1287"/>
  <c r="B1287"/>
  <c r="A1288" l="1"/>
  <c r="E1288" s="1"/>
  <c r="F1287"/>
  <c r="D1288"/>
  <c r="B1288"/>
  <c r="C1288"/>
  <c r="C1289" l="1"/>
  <c r="D1289"/>
  <c r="F1288"/>
  <c r="B1289"/>
  <c r="A1289"/>
  <c r="E1289" s="1"/>
  <c r="A1290" l="1"/>
  <c r="E1290" s="1"/>
  <c r="B1290"/>
  <c r="F1289"/>
  <c r="C1290"/>
  <c r="D1290"/>
  <c r="C1291" l="1"/>
  <c r="F1290"/>
  <c r="A1291"/>
  <c r="E1291" s="1"/>
  <c r="D1291"/>
  <c r="B1291"/>
  <c r="C1292" l="1"/>
  <c r="A1292"/>
  <c r="E1292" s="1"/>
  <c r="B1292"/>
  <c r="D1292"/>
  <c r="F1291"/>
  <c r="B1293" l="1"/>
  <c r="A1293"/>
  <c r="E1293" s="1"/>
  <c r="D1293"/>
  <c r="F1292"/>
  <c r="C1293"/>
  <c r="C1294" l="1"/>
  <c r="D1294"/>
  <c r="A1294"/>
  <c r="E1294" s="1"/>
  <c r="B1294"/>
  <c r="F1293"/>
  <c r="C1295" l="1"/>
  <c r="B1295"/>
  <c r="A1295"/>
  <c r="E1295" s="1"/>
  <c r="D1295"/>
  <c r="F1294"/>
  <c r="D1296" l="1"/>
  <c r="C1296"/>
  <c r="A1296"/>
  <c r="E1296" s="1"/>
  <c r="F1295"/>
  <c r="B1296"/>
  <c r="C1297" l="1"/>
  <c r="A1297"/>
  <c r="E1297" s="1"/>
  <c r="F1296"/>
  <c r="B1297"/>
  <c r="D1297"/>
  <c r="C1298" l="1"/>
  <c r="B1298"/>
  <c r="D1298"/>
  <c r="F1297"/>
  <c r="A1298"/>
  <c r="E1298" s="1"/>
  <c r="D1299" l="1"/>
  <c r="F1298"/>
  <c r="A1299"/>
  <c r="E1299" s="1"/>
  <c r="C1299"/>
  <c r="B1299"/>
  <c r="B1300" l="1"/>
  <c r="D1300"/>
  <c r="C1300"/>
  <c r="A1300"/>
  <c r="E1300" s="1"/>
  <c r="F1299"/>
  <c r="C1301" l="1"/>
  <c r="B1301"/>
  <c r="A1301"/>
  <c r="E1301" s="1"/>
  <c r="D1301"/>
  <c r="F1300"/>
  <c r="F1301" l="1"/>
  <c r="B1302"/>
  <c r="D1302"/>
  <c r="A1302"/>
  <c r="E1302" s="1"/>
  <c r="C1302"/>
  <c r="A1303" l="1"/>
  <c r="E1303" s="1"/>
  <c r="D1303"/>
  <c r="F1302"/>
  <c r="B1303"/>
  <c r="C1303"/>
  <c r="C1304" l="1"/>
  <c r="F1303"/>
  <c r="D1304"/>
  <c r="A1304"/>
  <c r="E1304" s="1"/>
  <c r="B1304"/>
  <c r="A1305" l="1"/>
  <c r="E1305" s="1"/>
  <c r="F1304"/>
  <c r="C1305"/>
  <c r="B1305"/>
  <c r="D1305"/>
  <c r="C1306" l="1"/>
  <c r="A1306"/>
  <c r="E1306" s="1"/>
  <c r="D1306"/>
  <c r="F1305"/>
  <c r="B1306"/>
  <c r="B1307" l="1"/>
  <c r="D1307"/>
  <c r="C1307"/>
  <c r="F1306"/>
  <c r="A1307"/>
  <c r="E1307" s="1"/>
  <c r="F1307" l="1"/>
  <c r="D1308"/>
  <c r="B1308"/>
  <c r="A1308"/>
  <c r="E1308" s="1"/>
  <c r="C1308"/>
  <c r="C1309" l="1"/>
  <c r="D1309"/>
  <c r="F1308"/>
  <c r="A1309"/>
  <c r="E1309" s="1"/>
  <c r="B1309"/>
  <c r="F1309" l="1"/>
  <c r="A1310"/>
  <c r="E1310" s="1"/>
  <c r="D1310"/>
  <c r="C1310"/>
  <c r="B1310"/>
  <c r="D1311" l="1"/>
  <c r="B1311"/>
  <c r="C1311"/>
  <c r="A1311"/>
  <c r="E1311" s="1"/>
  <c r="F1310"/>
  <c r="C1312" l="1"/>
  <c r="F1311"/>
  <c r="A1312"/>
  <c r="E1312" s="1"/>
  <c r="D1312"/>
  <c r="B1312"/>
  <c r="C1313" l="1"/>
  <c r="B1313"/>
  <c r="A1313"/>
  <c r="E1313" s="1"/>
  <c r="F1312"/>
  <c r="D1313"/>
  <c r="D1314" l="1"/>
  <c r="F1313"/>
  <c r="A1314"/>
  <c r="E1314" s="1"/>
  <c r="B1314"/>
  <c r="C1314"/>
  <c r="D1315" l="1"/>
  <c r="A1315"/>
  <c r="E1315" s="1"/>
  <c r="C1315"/>
  <c r="B1315"/>
  <c r="F1314"/>
  <c r="B1316" l="1"/>
  <c r="D1316"/>
  <c r="A1316"/>
  <c r="E1316" s="1"/>
  <c r="C1316"/>
  <c r="F1315"/>
  <c r="B1317" l="1"/>
  <c r="F1316"/>
  <c r="A1317"/>
  <c r="E1317" s="1"/>
  <c r="C1317"/>
  <c r="D1317"/>
  <c r="A1318" l="1"/>
  <c r="E1318" s="1"/>
  <c r="C1318"/>
  <c r="D1318"/>
  <c r="B1318"/>
  <c r="F1317"/>
  <c r="C1319" l="1"/>
  <c r="B1319"/>
  <c r="A1319"/>
  <c r="E1319" s="1"/>
  <c r="D1319"/>
  <c r="F1318"/>
  <c r="C1320" l="1"/>
  <c r="D1320"/>
  <c r="A1320"/>
  <c r="E1320" s="1"/>
  <c r="B1320"/>
  <c r="F1319"/>
  <c r="A1321" l="1"/>
  <c r="E1321" s="1"/>
  <c r="D1321"/>
  <c r="F1320"/>
  <c r="C1321"/>
  <c r="B1321"/>
  <c r="B1322" l="1"/>
  <c r="F1321"/>
  <c r="A1322"/>
  <c r="E1322" s="1"/>
  <c r="C1322"/>
  <c r="D1322"/>
  <c r="D1323" l="1"/>
  <c r="A1323"/>
  <c r="E1323" s="1"/>
  <c r="C1323"/>
  <c r="B1323"/>
  <c r="F1322"/>
  <c r="A1324" l="1"/>
  <c r="E1324" s="1"/>
  <c r="F1323"/>
  <c r="D1324"/>
  <c r="C1324"/>
  <c r="B1324"/>
  <c r="B1325" l="1"/>
  <c r="D1325"/>
  <c r="C1325"/>
  <c r="A1325"/>
  <c r="E1325" s="1"/>
  <c r="F1324"/>
  <c r="D1326" l="1"/>
  <c r="F1325"/>
  <c r="A1326"/>
  <c r="E1326" s="1"/>
  <c r="C1326"/>
  <c r="B1326"/>
  <c r="A1327" l="1"/>
  <c r="E1327" s="1"/>
  <c r="F1326"/>
  <c r="B1327"/>
  <c r="D1327"/>
  <c r="C1327"/>
  <c r="C1328" l="1"/>
  <c r="B1328"/>
  <c r="F1327"/>
  <c r="D1328"/>
  <c r="A1328"/>
  <c r="E1328" s="1"/>
  <c r="F1328" l="1"/>
  <c r="A1329"/>
  <c r="E1329" s="1"/>
  <c r="B1329"/>
  <c r="D1329"/>
  <c r="C1329"/>
  <c r="F1329" l="1"/>
  <c r="C1330"/>
  <c r="A1330"/>
  <c r="E1330" s="1"/>
  <c r="D1330"/>
  <c r="B1330"/>
  <c r="D1331" l="1"/>
  <c r="B1331"/>
  <c r="C1331"/>
  <c r="F1330"/>
  <c r="A1331"/>
  <c r="E1331" s="1"/>
  <c r="B1332" l="1"/>
  <c r="D1332"/>
  <c r="A1332"/>
  <c r="E1332" s="1"/>
  <c r="C1332"/>
  <c r="F1331"/>
  <c r="B1333" l="1"/>
  <c r="D1333"/>
  <c r="F1332"/>
  <c r="C1333"/>
  <c r="A1333"/>
  <c r="E1333" s="1"/>
  <c r="C1334" l="1"/>
  <c r="B1334"/>
  <c r="F1333"/>
  <c r="A1334"/>
  <c r="E1334" s="1"/>
  <c r="D1334"/>
  <c r="F1334" l="1"/>
  <c r="C1335"/>
  <c r="D1335"/>
  <c r="B1335"/>
  <c r="A1335"/>
  <c r="E1335" s="1"/>
  <c r="A1336" l="1"/>
  <c r="E1336" s="1"/>
  <c r="F1335"/>
  <c r="C1336"/>
  <c r="D1336"/>
  <c r="B1336"/>
  <c r="D1337" l="1"/>
  <c r="F1336"/>
  <c r="A1337"/>
  <c r="E1337" s="1"/>
  <c r="B1337"/>
  <c r="C1337"/>
  <c r="C1338" l="1"/>
  <c r="F1337"/>
  <c r="D1338"/>
  <c r="A1338"/>
  <c r="E1338" s="1"/>
  <c r="B1338"/>
  <c r="A1339" l="1"/>
  <c r="E1339" s="1"/>
  <c r="B1339"/>
  <c r="D1339"/>
  <c r="C1339"/>
  <c r="F1338"/>
  <c r="C1340" l="1"/>
  <c r="D1340"/>
  <c r="A1340"/>
  <c r="E1340" s="1"/>
  <c r="B1340"/>
  <c r="F1339"/>
  <c r="B1341" l="1"/>
  <c r="A1341"/>
  <c r="E1341" s="1"/>
  <c r="D1341"/>
  <c r="C1341"/>
  <c r="F1340"/>
  <c r="B1342" l="1"/>
  <c r="F1341"/>
  <c r="A1342"/>
  <c r="E1342" s="1"/>
  <c r="C1342"/>
  <c r="D1342"/>
  <c r="B1343" l="1"/>
  <c r="D1343"/>
  <c r="F1342"/>
  <c r="A1343"/>
  <c r="E1343" s="1"/>
  <c r="C1343"/>
  <c r="B1344" l="1"/>
  <c r="A1344"/>
  <c r="E1344" s="1"/>
  <c r="C1344"/>
  <c r="F1343"/>
  <c r="D1344"/>
  <c r="B1345" l="1"/>
  <c r="D1345"/>
  <c r="C1345"/>
  <c r="A1345"/>
  <c r="E1345" s="1"/>
  <c r="F1344"/>
  <c r="C1346" l="1"/>
  <c r="B1346"/>
  <c r="A1346"/>
  <c r="E1346" s="1"/>
  <c r="D1346"/>
  <c r="F1345"/>
  <c r="A1347" l="1"/>
  <c r="E1347" s="1"/>
  <c r="D1347"/>
  <c r="B1347"/>
  <c r="F1346"/>
  <c r="C1347"/>
  <c r="A1348" l="1"/>
  <c r="E1348" s="1"/>
  <c r="D1348"/>
  <c r="C1348"/>
  <c r="B1348"/>
  <c r="F1347"/>
  <c r="A1349" l="1"/>
  <c r="E1349" s="1"/>
  <c r="D1349"/>
  <c r="B1349"/>
  <c r="F1348"/>
  <c r="C1349"/>
  <c r="A1350" l="1"/>
  <c r="E1350" s="1"/>
  <c r="D1350"/>
  <c r="F1349"/>
  <c r="B1350"/>
  <c r="C1350"/>
  <c r="B1351" l="1"/>
  <c r="D1351"/>
  <c r="C1351"/>
  <c r="A1351"/>
  <c r="E1351" s="1"/>
  <c r="F1350"/>
  <c r="B1352" l="1"/>
  <c r="F1351"/>
  <c r="A1352"/>
  <c r="E1352" s="1"/>
  <c r="C1352"/>
  <c r="D1352"/>
  <c r="F1352" l="1"/>
  <c r="D1353"/>
  <c r="A1353"/>
  <c r="E1353" s="1"/>
  <c r="C1353"/>
  <c r="B1353"/>
  <c r="A1354" l="1"/>
  <c r="E1354" s="1"/>
  <c r="B1354"/>
  <c r="D1354"/>
  <c r="F1353"/>
  <c r="C1354"/>
  <c r="B1355" l="1"/>
  <c r="C1355"/>
  <c r="A1355"/>
  <c r="E1355" s="1"/>
  <c r="D1355"/>
  <c r="F1354"/>
  <c r="F1355" l="1"/>
  <c r="A1356"/>
  <c r="E1356" s="1"/>
  <c r="B1356"/>
  <c r="C1356"/>
  <c r="D1356"/>
  <c r="C1357" l="1"/>
  <c r="D1357"/>
  <c r="B1357"/>
  <c r="A1357"/>
  <c r="E1357" s="1"/>
  <c r="F1356"/>
  <c r="C1358" l="1"/>
  <c r="A1358"/>
  <c r="E1358" s="1"/>
  <c r="F1357"/>
  <c r="B1358"/>
  <c r="D1358"/>
  <c r="C1359" l="1"/>
  <c r="D1359"/>
  <c r="A1359"/>
  <c r="E1359" s="1"/>
  <c r="F1358"/>
  <c r="B1359"/>
  <c r="F1359" l="1"/>
  <c r="A1360"/>
  <c r="E1360" s="1"/>
  <c r="B1360"/>
  <c r="D1360"/>
  <c r="C1360"/>
  <c r="C1361" l="1"/>
  <c r="F1360"/>
  <c r="B1361"/>
  <c r="A1361"/>
  <c r="E1361" s="1"/>
  <c r="D1361"/>
  <c r="A1362" l="1"/>
  <c r="E1362" s="1"/>
  <c r="D1362"/>
  <c r="C1362"/>
  <c r="B1362"/>
  <c r="F1361"/>
  <c r="F1362" l="1"/>
  <c r="D1363"/>
  <c r="C1363"/>
  <c r="A1363"/>
  <c r="E1363" s="1"/>
  <c r="B1363"/>
  <c r="D1364" l="1"/>
  <c r="A1364"/>
  <c r="E1364" s="1"/>
  <c r="C1364"/>
  <c r="B1364"/>
  <c r="F1363"/>
  <c r="F1364" l="1"/>
  <c r="A1365"/>
  <c r="E1365" s="1"/>
  <c r="D1365"/>
  <c r="C1365"/>
  <c r="B1365"/>
  <c r="C1366" l="1"/>
  <c r="D1366"/>
  <c r="F1365"/>
  <c r="A1366"/>
  <c r="E1366" s="1"/>
  <c r="B1366"/>
  <c r="F1366" l="1"/>
  <c r="D1367"/>
  <c r="C1367"/>
  <c r="A1367"/>
  <c r="E1367" s="1"/>
  <c r="B1367"/>
  <c r="F1367" l="1"/>
  <c r="A1368"/>
  <c r="E1368" s="1"/>
  <c r="B1368"/>
  <c r="C1368"/>
  <c r="D1368"/>
  <c r="B1369" l="1"/>
  <c r="C1369"/>
  <c r="A1369"/>
  <c r="E1369" s="1"/>
  <c r="D1369"/>
  <c r="F1368"/>
  <c r="F1369" l="1"/>
  <c r="A1370"/>
  <c r="E1370" s="1"/>
  <c r="D1370"/>
  <c r="B1370"/>
  <c r="C1370"/>
  <c r="D1371" l="1"/>
  <c r="B1371"/>
  <c r="C1371"/>
  <c r="A1371"/>
  <c r="E1371" s="1"/>
  <c r="F1370"/>
  <c r="B1372" l="1"/>
  <c r="F1371"/>
  <c r="A1372"/>
  <c r="E1372" s="1"/>
  <c r="C1372"/>
  <c r="D1372"/>
  <c r="B1373" l="1"/>
  <c r="C1373"/>
  <c r="A1373"/>
  <c r="E1373" s="1"/>
  <c r="F1372"/>
  <c r="D1373"/>
  <c r="C1374" l="1"/>
  <c r="B1374"/>
  <c r="D1374"/>
  <c r="A1374"/>
  <c r="E1374" s="1"/>
  <c r="F1373"/>
  <c r="D1375" l="1"/>
  <c r="C1375"/>
  <c r="F1374"/>
  <c r="A1375"/>
  <c r="E1375" s="1"/>
  <c r="B1375"/>
  <c r="A1376" l="1"/>
  <c r="E1376" s="1"/>
  <c r="C1376"/>
  <c r="D1376"/>
  <c r="B1376"/>
  <c r="F1375"/>
  <c r="A1377" l="1"/>
  <c r="E1377" s="1"/>
  <c r="D1377"/>
  <c r="B1377"/>
  <c r="C1377"/>
  <c r="F1376"/>
  <c r="C1378" l="1"/>
  <c r="B1378"/>
  <c r="A1378"/>
  <c r="E1378" s="1"/>
  <c r="D1378"/>
  <c r="F1377"/>
  <c r="F1378" l="1"/>
  <c r="A1379"/>
  <c r="E1379" s="1"/>
  <c r="C1379"/>
  <c r="B1379"/>
  <c r="D1379"/>
  <c r="C1380" l="1"/>
  <c r="B1380"/>
  <c r="A1380"/>
  <c r="E1380" s="1"/>
  <c r="D1380"/>
  <c r="F1379"/>
  <c r="F1380" l="1"/>
  <c r="D1381"/>
  <c r="C1381"/>
  <c r="A1381"/>
  <c r="E1381" s="1"/>
  <c r="B1381"/>
  <c r="A1382" l="1"/>
  <c r="E1382" s="1"/>
  <c r="C1382"/>
  <c r="F1381"/>
  <c r="D1382"/>
  <c r="B1382"/>
  <c r="F1382" l="1"/>
  <c r="C1383"/>
  <c r="A1383"/>
  <c r="E1383" s="1"/>
  <c r="B1383"/>
  <c r="D1383"/>
  <c r="B1384" l="1"/>
  <c r="D1384"/>
  <c r="A1384"/>
  <c r="E1384" s="1"/>
  <c r="C1384"/>
  <c r="F1383"/>
  <c r="C1385" l="1"/>
  <c r="A1385"/>
  <c r="E1385" s="1"/>
  <c r="B1385"/>
  <c r="D1385"/>
  <c r="F1384"/>
  <c r="B1386" l="1"/>
  <c r="F1385"/>
  <c r="A1386"/>
  <c r="E1386" s="1"/>
  <c r="D1386"/>
  <c r="C1386"/>
  <c r="A1387" l="1"/>
  <c r="E1387" s="1"/>
  <c r="B1387"/>
  <c r="F1386"/>
  <c r="D1387"/>
  <c r="C1387"/>
  <c r="B1388" l="1"/>
  <c r="F1387"/>
  <c r="A1388"/>
  <c r="E1388" s="1"/>
  <c r="D1388"/>
  <c r="C1388"/>
  <c r="A1389" l="1"/>
  <c r="E1389" s="1"/>
  <c r="D1389"/>
  <c r="F1388"/>
  <c r="C1389"/>
  <c r="B1389"/>
  <c r="C1390" l="1"/>
  <c r="F1389"/>
  <c r="B1390"/>
  <c r="D1390"/>
  <c r="A1390"/>
  <c r="E1390" s="1"/>
  <c r="B1391" l="1"/>
  <c r="D1391"/>
  <c r="C1391"/>
  <c r="F1390"/>
  <c r="A1391"/>
  <c r="E1391" s="1"/>
  <c r="B1392" l="1"/>
  <c r="F1391"/>
  <c r="C1392"/>
  <c r="A1392"/>
  <c r="E1392" s="1"/>
  <c r="D1392"/>
  <c r="F1392" l="1"/>
  <c r="C1393"/>
  <c r="B1393"/>
  <c r="D1393"/>
  <c r="A1393"/>
  <c r="E1393" s="1"/>
  <c r="C1394" l="1"/>
  <c r="D1394"/>
  <c r="F1393"/>
  <c r="B1394"/>
  <c r="A1394"/>
  <c r="E1394" s="1"/>
  <c r="C1395" l="1"/>
  <c r="D1395"/>
  <c r="F1394"/>
  <c r="A1395"/>
  <c r="E1395" s="1"/>
  <c r="B1395"/>
  <c r="D1396" l="1"/>
  <c r="F1395"/>
  <c r="B1396"/>
  <c r="A1396"/>
  <c r="E1396" s="1"/>
  <c r="C1396"/>
  <c r="B1397" l="1"/>
  <c r="C1397"/>
  <c r="D1397"/>
  <c r="F1396"/>
  <c r="A1397"/>
  <c r="E1397" s="1"/>
  <c r="F1397" l="1"/>
  <c r="A1398"/>
  <c r="E1398" s="1"/>
  <c r="C1398"/>
  <c r="B1398"/>
  <c r="D1398"/>
  <c r="D1399" l="1"/>
  <c r="C1399"/>
  <c r="B1399"/>
  <c r="F1398"/>
  <c r="A1399"/>
  <c r="E1399" s="1"/>
  <c r="B1400" l="1"/>
  <c r="A1400"/>
  <c r="E1400" s="1"/>
  <c r="D1400"/>
  <c r="F1399"/>
  <c r="C1400"/>
  <c r="D1401" l="1"/>
  <c r="A1401"/>
  <c r="E1401" s="1"/>
  <c r="C1401"/>
  <c r="F1400"/>
  <c r="B1401"/>
  <c r="D1402" l="1"/>
  <c r="F1401"/>
  <c r="C1402"/>
  <c r="A1402"/>
  <c r="E1402" s="1"/>
  <c r="B1402"/>
  <c r="D1403" l="1"/>
  <c r="C1403"/>
  <c r="B1403"/>
  <c r="A1403"/>
  <c r="E1403" s="1"/>
  <c r="F1402"/>
  <c r="A1404" l="1"/>
  <c r="E1404" s="1"/>
  <c r="F1403"/>
  <c r="C1404"/>
  <c r="B1404"/>
  <c r="D1404"/>
  <c r="A1405" l="1"/>
  <c r="E1405" s="1"/>
  <c r="D1405"/>
  <c r="F1404"/>
  <c r="B1405"/>
  <c r="C1405"/>
  <c r="D1406" l="1"/>
  <c r="B1406"/>
  <c r="F1405"/>
  <c r="A1406"/>
  <c r="E1406" s="1"/>
  <c r="C1406"/>
  <c r="D1407" l="1"/>
  <c r="B1407"/>
  <c r="A1407"/>
  <c r="E1407" s="1"/>
  <c r="C1407"/>
  <c r="F1406"/>
  <c r="D1408" l="1"/>
  <c r="B1408"/>
  <c r="F1407"/>
  <c r="C1408"/>
  <c r="A1408"/>
  <c r="E1408" s="1"/>
  <c r="F1408" l="1"/>
  <c r="C1409"/>
  <c r="A1409"/>
  <c r="E1409" s="1"/>
  <c r="B1409"/>
  <c r="D1409"/>
  <c r="B1410" l="1"/>
  <c r="F1409"/>
  <c r="A1410"/>
  <c r="E1410" s="1"/>
  <c r="D1410"/>
  <c r="C1410"/>
  <c r="A1411" l="1"/>
  <c r="E1411" s="1"/>
  <c r="B1411"/>
  <c r="C1411"/>
  <c r="F1410"/>
  <c r="D1411"/>
  <c r="A1412" l="1"/>
  <c r="E1412" s="1"/>
  <c r="B1412"/>
  <c r="F1411"/>
  <c r="D1412"/>
  <c r="C1412"/>
  <c r="B1413" l="1"/>
  <c r="D1413"/>
  <c r="F1412"/>
  <c r="C1413"/>
  <c r="A1413"/>
  <c r="E1413" s="1"/>
  <c r="D1414" l="1"/>
  <c r="C1414"/>
  <c r="F1413"/>
  <c r="A1414"/>
  <c r="E1414" s="1"/>
  <c r="B1414"/>
  <c r="F1414" l="1"/>
  <c r="C1415"/>
  <c r="D1415"/>
  <c r="A1415"/>
  <c r="E1415" s="1"/>
  <c r="B1415"/>
  <c r="D1416" l="1"/>
  <c r="A1416"/>
  <c r="E1416" s="1"/>
  <c r="B1416"/>
  <c r="C1416"/>
  <c r="F1415"/>
  <c r="F1416" l="1"/>
  <c r="C1417"/>
  <c r="B1417"/>
  <c r="A1417"/>
  <c r="E1417" s="1"/>
  <c r="D1417"/>
  <c r="D1418" l="1"/>
  <c r="A1418"/>
  <c r="E1418" s="1"/>
  <c r="B1418"/>
  <c r="F1417"/>
  <c r="C1418"/>
  <c r="B1419" l="1"/>
  <c r="C1419"/>
  <c r="D1419"/>
  <c r="A1419"/>
  <c r="E1419" s="1"/>
  <c r="F1418"/>
  <c r="C1420" l="1"/>
  <c r="F1419"/>
  <c r="A1420"/>
  <c r="E1420" s="1"/>
  <c r="B1420"/>
  <c r="D1420"/>
  <c r="A1421" l="1"/>
  <c r="E1421" s="1"/>
  <c r="F1420"/>
  <c r="B1421"/>
  <c r="C1421"/>
  <c r="D1421"/>
  <c r="B1422" l="1"/>
  <c r="A1422"/>
  <c r="E1422" s="1"/>
  <c r="D1422"/>
  <c r="C1422"/>
  <c r="F1421"/>
  <c r="D1423" l="1"/>
  <c r="C1423"/>
  <c r="A1423"/>
  <c r="E1423" s="1"/>
  <c r="F1422"/>
  <c r="B1423"/>
  <c r="D1424" l="1"/>
  <c r="B1424"/>
  <c r="C1424"/>
  <c r="A1424"/>
  <c r="E1424" s="1"/>
  <c r="F1423"/>
  <c r="F1424" l="1"/>
  <c r="D1425"/>
  <c r="B1425"/>
  <c r="A1425"/>
  <c r="E1425" s="1"/>
  <c r="C1425"/>
  <c r="C1426" l="1"/>
  <c r="B1426"/>
  <c r="F1425"/>
  <c r="D1426"/>
  <c r="A1426"/>
  <c r="E1426" s="1"/>
  <c r="D1427" l="1"/>
  <c r="B1427"/>
  <c r="F1426"/>
  <c r="A1427"/>
  <c r="E1427" s="1"/>
  <c r="C1427"/>
  <c r="F1427" l="1"/>
  <c r="A1428"/>
  <c r="E1428" s="1"/>
  <c r="C1428"/>
  <c r="B1428"/>
  <c r="D1428"/>
  <c r="B1429" l="1"/>
  <c r="C1429"/>
  <c r="F1428"/>
  <c r="A1429"/>
  <c r="E1429" s="1"/>
  <c r="D1429"/>
  <c r="B1430" l="1"/>
  <c r="C1430"/>
  <c r="A1430"/>
  <c r="E1430" s="1"/>
  <c r="D1430"/>
  <c r="F1429"/>
  <c r="F1430" l="1"/>
  <c r="C1431"/>
  <c r="A1431"/>
  <c r="E1431" s="1"/>
  <c r="D1431"/>
  <c r="B1431"/>
  <c r="F1431" l="1"/>
  <c r="D1432"/>
  <c r="A1432"/>
  <c r="E1432" s="1"/>
  <c r="C1432"/>
  <c r="B1432"/>
  <c r="F1432" l="1"/>
  <c r="D1433"/>
  <c r="C1433"/>
  <c r="B1433"/>
  <c r="A1433"/>
  <c r="E1433" s="1"/>
  <c r="F1433" l="1"/>
  <c r="C1434"/>
  <c r="D1434"/>
  <c r="B1434"/>
  <c r="A1434"/>
  <c r="E1434" s="1"/>
  <c r="F1434" l="1"/>
  <c r="A1435"/>
  <c r="E1435" s="1"/>
  <c r="D1435"/>
  <c r="C1435"/>
  <c r="B1435"/>
  <c r="B1436" l="1"/>
  <c r="C1436"/>
  <c r="D1436"/>
  <c r="F1435"/>
  <c r="A1436"/>
  <c r="E1436" s="1"/>
  <c r="C1437" l="1"/>
  <c r="A1437"/>
  <c r="E1437" s="1"/>
  <c r="B1437"/>
  <c r="D1437"/>
  <c r="F1436"/>
  <c r="B1438" l="1"/>
  <c r="C1438"/>
  <c r="F1437"/>
  <c r="A1438"/>
  <c r="E1438" s="1"/>
  <c r="D1438"/>
  <c r="F1438" l="1"/>
  <c r="A1439"/>
  <c r="E1439" s="1"/>
  <c r="C1439"/>
  <c r="D1439"/>
  <c r="B1439"/>
  <c r="F1439" l="1"/>
  <c r="A1440"/>
  <c r="E1440" s="1"/>
  <c r="C1440"/>
  <c r="B1440"/>
  <c r="D1440"/>
  <c r="B1441" l="1"/>
  <c r="D1441"/>
  <c r="C1441"/>
  <c r="F1440"/>
  <c r="A1441"/>
  <c r="E1441" s="1"/>
  <c r="F1441" l="1"/>
  <c r="B1442"/>
  <c r="D1442"/>
  <c r="C1442"/>
  <c r="A1442"/>
  <c r="E1442" s="1"/>
  <c r="A1443" l="1"/>
  <c r="E1443" s="1"/>
  <c r="C1443"/>
  <c r="F1442"/>
  <c r="B1443"/>
  <c r="D1443"/>
  <c r="D1444" l="1"/>
  <c r="B1444"/>
  <c r="F1443"/>
  <c r="A1444"/>
  <c r="E1444" s="1"/>
  <c r="C1444"/>
  <c r="A1445" l="1"/>
  <c r="E1445" s="1"/>
  <c r="F1444"/>
  <c r="B1445"/>
  <c r="C1445"/>
  <c r="D1445"/>
  <c r="F1445" l="1"/>
  <c r="D1446"/>
  <c r="A1446"/>
  <c r="E1446" s="1"/>
  <c r="C1446"/>
  <c r="B1446"/>
  <c r="D1447" l="1"/>
  <c r="F1446"/>
  <c r="A1447"/>
  <c r="E1447" s="1"/>
  <c r="C1447"/>
  <c r="B1447"/>
  <c r="A1448" l="1"/>
  <c r="E1448" s="1"/>
  <c r="D1448"/>
  <c r="B1448"/>
  <c r="C1448"/>
  <c r="F1447"/>
  <c r="D1449" l="1"/>
  <c r="A1449"/>
  <c r="E1449" s="1"/>
  <c r="F1448"/>
  <c r="C1449"/>
  <c r="B1449"/>
  <c r="A1450" l="1"/>
  <c r="E1450" s="1"/>
  <c r="C1450"/>
  <c r="D1450"/>
  <c r="B1450"/>
  <c r="F1449"/>
  <c r="A1451" l="1"/>
  <c r="E1451" s="1"/>
  <c r="D1451"/>
  <c r="B1451"/>
  <c r="F1450"/>
  <c r="C1451"/>
  <c r="A1452" l="1"/>
  <c r="E1452" s="1"/>
  <c r="D1452"/>
  <c r="F1451"/>
  <c r="B1452"/>
  <c r="C1452"/>
  <c r="F1452" l="1"/>
  <c r="A1453"/>
  <c r="E1453" s="1"/>
  <c r="B1453"/>
  <c r="C1453"/>
  <c r="D1453"/>
  <c r="C1454" l="1"/>
  <c r="D1454"/>
  <c r="F1453"/>
  <c r="A1454"/>
  <c r="E1454" s="1"/>
  <c r="B1454"/>
  <c r="F1454" l="1"/>
  <c r="C1455"/>
  <c r="D1455"/>
  <c r="B1455"/>
  <c r="A1455"/>
  <c r="E1455" s="1"/>
  <c r="F1455" l="1"/>
  <c r="D1456"/>
  <c r="A1456"/>
  <c r="E1456" s="1"/>
  <c r="B1456"/>
  <c r="C1456"/>
  <c r="D1457" l="1"/>
  <c r="C1457"/>
  <c r="B1457"/>
  <c r="F1456"/>
  <c r="A1457"/>
  <c r="E1457" s="1"/>
  <c r="A1458" l="1"/>
  <c r="E1458" s="1"/>
  <c r="D1458"/>
  <c r="C1458"/>
  <c r="F1457"/>
  <c r="B1458"/>
  <c r="B1459" l="1"/>
  <c r="F1458"/>
  <c r="C1459"/>
  <c r="A1459"/>
  <c r="E1459" s="1"/>
  <c r="D1459"/>
  <c r="C1460" l="1"/>
  <c r="D1460"/>
  <c r="B1460"/>
  <c r="F1459"/>
  <c r="A1460"/>
  <c r="E1460" s="1"/>
  <c r="A1461" l="1"/>
  <c r="E1461" s="1"/>
  <c r="D1461"/>
  <c r="C1461"/>
  <c r="B1461"/>
  <c r="F1460"/>
  <c r="A1462" l="1"/>
  <c r="E1462" s="1"/>
  <c r="F1461"/>
  <c r="C1462"/>
  <c r="D1462"/>
  <c r="B1462"/>
  <c r="F1462" l="1"/>
  <c r="C1463"/>
  <c r="B1463"/>
  <c r="D1463"/>
  <c r="A1463"/>
  <c r="E1463" s="1"/>
  <c r="F1463" l="1"/>
  <c r="D1464"/>
  <c r="A1464"/>
  <c r="E1464" s="1"/>
  <c r="C1464"/>
  <c r="B1464"/>
  <c r="D1465" l="1"/>
  <c r="F1464"/>
  <c r="B1465"/>
  <c r="A1465"/>
  <c r="E1465" s="1"/>
  <c r="C1465"/>
  <c r="C1466" l="1"/>
  <c r="D1466"/>
  <c r="B1466"/>
  <c r="A1466"/>
  <c r="E1466" s="1"/>
  <c r="F1465"/>
  <c r="D1467" l="1"/>
  <c r="A1467"/>
  <c r="E1467" s="1"/>
  <c r="B1467"/>
  <c r="C1467"/>
  <c r="F1466"/>
  <c r="B1468" l="1"/>
  <c r="C1468"/>
  <c r="A1468"/>
  <c r="E1468" s="1"/>
  <c r="F1467"/>
  <c r="D1468"/>
  <c r="A1469" l="1"/>
  <c r="E1469" s="1"/>
  <c r="D1469"/>
  <c r="F1468"/>
  <c r="B1469"/>
  <c r="C1469"/>
  <c r="A1470" l="1"/>
  <c r="E1470" s="1"/>
  <c r="F1469"/>
  <c r="B1470"/>
  <c r="C1470"/>
  <c r="D1470"/>
  <c r="C1471" l="1"/>
  <c r="F1470"/>
  <c r="A1471"/>
  <c r="E1471" s="1"/>
  <c r="D1471"/>
  <c r="B1471"/>
  <c r="B1472" l="1"/>
  <c r="D1472"/>
  <c r="A1472"/>
  <c r="E1472" s="1"/>
  <c r="C1472"/>
  <c r="F1471"/>
  <c r="C1473" l="1"/>
  <c r="D1473"/>
  <c r="F1472"/>
  <c r="B1473"/>
  <c r="A1473"/>
  <c r="E1473" s="1"/>
  <c r="A1474" l="1"/>
  <c r="E1474" s="1"/>
  <c r="B1474"/>
  <c r="F1473"/>
  <c r="C1474"/>
  <c r="D1474"/>
  <c r="C1475" l="1"/>
  <c r="F1474"/>
  <c r="B1475"/>
  <c r="A1475"/>
  <c r="E1475" s="1"/>
  <c r="D1475"/>
  <c r="C1476" l="1"/>
  <c r="B1476"/>
  <c r="D1476"/>
  <c r="F1475"/>
  <c r="A1476"/>
  <c r="E1476" s="1"/>
  <c r="C1477" l="1"/>
  <c r="D1477"/>
  <c r="F1476"/>
  <c r="B1477"/>
  <c r="A1477"/>
  <c r="E1477" s="1"/>
  <c r="A1478" l="1"/>
  <c r="E1478" s="1"/>
  <c r="F1477"/>
  <c r="D1478"/>
  <c r="C1478"/>
  <c r="B1478"/>
  <c r="A1479" l="1"/>
  <c r="E1479" s="1"/>
  <c r="B1479"/>
  <c r="F1478"/>
  <c r="D1479"/>
  <c r="C1479"/>
  <c r="F1479" l="1"/>
  <c r="D1480"/>
  <c r="C1480"/>
  <c r="A1480"/>
  <c r="E1480" s="1"/>
  <c r="B1480"/>
  <c r="B1481" l="1"/>
  <c r="A1481"/>
  <c r="E1481" s="1"/>
  <c r="C1481"/>
  <c r="D1481"/>
  <c r="F1480"/>
  <c r="A1482" l="1"/>
  <c r="E1482" s="1"/>
  <c r="F1481"/>
  <c r="C1482"/>
  <c r="B1482"/>
  <c r="D1482"/>
  <c r="C1483" l="1"/>
  <c r="D1483"/>
  <c r="A1483"/>
  <c r="E1483" s="1"/>
  <c r="F1482"/>
  <c r="B1483"/>
  <c r="B1484" l="1"/>
  <c r="D1484"/>
  <c r="C1484"/>
  <c r="A1484"/>
  <c r="E1484" s="1"/>
  <c r="F1483"/>
  <c r="B1485" l="1"/>
  <c r="F1484"/>
  <c r="D1485"/>
  <c r="A1485"/>
  <c r="E1485" s="1"/>
  <c r="C1485"/>
  <c r="C1486" l="1"/>
  <c r="A1486"/>
  <c r="E1486" s="1"/>
  <c r="F1485"/>
  <c r="D1486"/>
  <c r="B1486"/>
  <c r="C1487" l="1"/>
  <c r="B1487"/>
  <c r="A1487"/>
  <c r="E1487" s="1"/>
  <c r="D1487"/>
  <c r="F1486"/>
  <c r="A1488" l="1"/>
  <c r="E1488" s="1"/>
  <c r="F1487"/>
  <c r="D1488"/>
  <c r="B1488"/>
  <c r="C1488"/>
  <c r="F1488" l="1"/>
  <c r="B1489"/>
  <c r="A1489"/>
  <c r="E1489" s="1"/>
  <c r="D1489"/>
  <c r="C1489"/>
  <c r="F1489" l="1"/>
  <c r="D1490"/>
  <c r="C1490"/>
  <c r="A1490"/>
  <c r="E1490" s="1"/>
  <c r="B1490"/>
  <c r="F1490" l="1"/>
  <c r="A1491"/>
  <c r="E1491" s="1"/>
  <c r="D1491"/>
  <c r="C1491"/>
  <c r="B1491"/>
  <c r="D1492" l="1"/>
  <c r="F1491"/>
  <c r="C1492"/>
  <c r="B1492"/>
  <c r="A1492"/>
  <c r="E1492" s="1"/>
  <c r="C1493" l="1"/>
  <c r="F1492"/>
  <c r="B1493"/>
  <c r="D1493"/>
  <c r="A1493"/>
  <c r="E1493" s="1"/>
  <c r="D1494" l="1"/>
  <c r="F1493"/>
  <c r="B1494"/>
  <c r="A1494"/>
  <c r="E1494" s="1"/>
  <c r="C1494"/>
  <c r="C1495" l="1"/>
  <c r="D1495"/>
  <c r="F1494"/>
  <c r="A1495"/>
  <c r="E1495" s="1"/>
  <c r="B1495"/>
  <c r="B1496" l="1"/>
  <c r="A1496"/>
  <c r="E1496" s="1"/>
  <c r="C1496"/>
  <c r="D1496"/>
  <c r="F1495"/>
  <c r="F1496" l="1"/>
  <c r="D1497"/>
  <c r="B1497"/>
  <c r="C1497"/>
  <c r="A1497"/>
  <c r="E1497" s="1"/>
  <c r="C1498" l="1"/>
  <c r="B1498"/>
  <c r="D1498"/>
  <c r="A1498"/>
  <c r="E1498" s="1"/>
  <c r="F1497"/>
  <c r="B1499" l="1"/>
  <c r="F1498"/>
  <c r="D1499"/>
  <c r="C1499"/>
  <c r="A1499"/>
  <c r="E1499" s="1"/>
  <c r="C1500" l="1"/>
  <c r="B1500"/>
  <c r="F1499"/>
  <c r="A1500"/>
  <c r="E1500" s="1"/>
  <c r="D1500"/>
  <c r="F1500" l="1"/>
  <c r="A1501"/>
  <c r="E1501" s="1"/>
  <c r="C1501"/>
  <c r="D1501"/>
  <c r="B1501"/>
  <c r="D1502" l="1"/>
  <c r="F1501"/>
  <c r="C1502"/>
  <c r="A1502"/>
  <c r="E1502" s="1"/>
  <c r="B1502"/>
  <c r="A1503" l="1"/>
  <c r="E1503" s="1"/>
  <c r="B1503"/>
  <c r="D1503"/>
  <c r="C1503"/>
  <c r="F1502"/>
  <c r="B1504" l="1"/>
  <c r="C1504"/>
  <c r="F1503"/>
  <c r="D1504"/>
  <c r="A1504"/>
  <c r="E1504" s="1"/>
  <c r="C1505" l="1"/>
  <c r="B1505"/>
  <c r="D1505"/>
  <c r="F1504"/>
  <c r="A1505"/>
  <c r="E1505" s="1"/>
  <c r="B1506" l="1"/>
  <c r="C1506"/>
  <c r="F1505"/>
  <c r="A1506"/>
  <c r="E1506" s="1"/>
  <c r="D1506"/>
  <c r="A1507" l="1"/>
  <c r="E1507" s="1"/>
  <c r="D1507"/>
  <c r="F1506"/>
  <c r="C1507"/>
  <c r="B1507"/>
  <c r="C1508" l="1"/>
  <c r="F1507"/>
  <c r="B1508"/>
  <c r="A1508"/>
  <c r="E1508" s="1"/>
  <c r="D1508"/>
  <c r="B1509" l="1"/>
  <c r="C1509"/>
  <c r="D1509"/>
  <c r="A1509"/>
  <c r="E1509" s="1"/>
  <c r="F1508"/>
  <c r="C1510" l="1"/>
  <c r="F1509"/>
  <c r="A1510"/>
  <c r="E1510" s="1"/>
  <c r="B1510"/>
  <c r="D1510"/>
  <c r="A1511" l="1"/>
  <c r="E1511" s="1"/>
  <c r="D1511"/>
  <c r="B1511"/>
  <c r="C1511"/>
  <c r="F1510"/>
  <c r="B1512" l="1"/>
  <c r="F1511"/>
  <c r="C1512"/>
  <c r="A1512"/>
  <c r="E1512" s="1"/>
  <c r="D1512"/>
  <c r="A1513" l="1"/>
  <c r="E1513" s="1"/>
  <c r="F1512"/>
  <c r="D1513"/>
  <c r="C1513"/>
  <c r="B1513"/>
  <c r="A1514" l="1"/>
  <c r="E1514" s="1"/>
  <c r="B1514"/>
  <c r="F1513"/>
  <c r="C1514"/>
  <c r="D1514"/>
  <c r="F1514" l="1"/>
  <c r="C1515"/>
  <c r="A1515"/>
  <c r="E1515" s="1"/>
  <c r="D1515"/>
  <c r="B1515"/>
  <c r="B1516" l="1"/>
  <c r="C1516"/>
  <c r="A1516"/>
  <c r="E1516" s="1"/>
  <c r="D1516"/>
  <c r="F1515"/>
  <c r="C1517" l="1"/>
  <c r="F1516"/>
  <c r="A1517"/>
  <c r="E1517" s="1"/>
  <c r="B1517"/>
  <c r="D1517"/>
  <c r="A1518" l="1"/>
  <c r="E1518" s="1"/>
  <c r="C1518"/>
  <c r="B1518"/>
  <c r="D1518"/>
  <c r="F1517"/>
  <c r="F1518" l="1"/>
  <c r="A1519"/>
  <c r="E1519" s="1"/>
  <c r="D1519"/>
  <c r="C1519"/>
  <c r="B1519"/>
  <c r="F1519" l="1"/>
  <c r="D1520"/>
  <c r="B1520"/>
  <c r="A1520"/>
  <c r="E1520" s="1"/>
  <c r="C1520"/>
  <c r="D1521" l="1"/>
  <c r="B1521"/>
  <c r="C1521"/>
  <c r="F1520"/>
  <c r="A1521"/>
  <c r="E1521" s="1"/>
  <c r="B1522" l="1"/>
  <c r="A1522"/>
  <c r="E1522" s="1"/>
  <c r="C1522"/>
  <c r="F1521"/>
  <c r="D1522"/>
  <c r="B1523" l="1"/>
  <c r="D1523"/>
  <c r="A1523"/>
  <c r="E1523" s="1"/>
  <c r="F1523" s="1"/>
  <c r="F5" s="1"/>
  <c r="F1522"/>
  <c r="C1523"/>
</calcChain>
</file>

<file path=xl/sharedStrings.xml><?xml version="1.0" encoding="utf-8"?>
<sst xmlns="http://schemas.openxmlformats.org/spreadsheetml/2006/main" count="36" uniqueCount="29">
  <si>
    <t>premium loading</t>
  </si>
  <si>
    <t>lambda</t>
  </si>
  <si>
    <t>mu</t>
  </si>
  <si>
    <t>U0</t>
  </si>
  <si>
    <t xml:space="preserve">Exponential claims </t>
  </si>
  <si>
    <t>Exponential inter-arrival times</t>
  </si>
  <si>
    <t>mean claim amount</t>
  </si>
  <si>
    <t>mean time between claims (periods)</t>
  </si>
  <si>
    <t>Xi</t>
  </si>
  <si>
    <t>Claim time</t>
  </si>
  <si>
    <t>Claim amount</t>
  </si>
  <si>
    <t>T</t>
  </si>
  <si>
    <t>cT</t>
  </si>
  <si>
    <t>Premiums</t>
  </si>
  <si>
    <t>Cumulative</t>
  </si>
  <si>
    <t>claim amounts</t>
  </si>
  <si>
    <t>sum(Xi)</t>
  </si>
  <si>
    <t>Ruin</t>
  </si>
  <si>
    <t>TIME LIMIT</t>
  </si>
  <si>
    <t>Simulations</t>
  </si>
  <si>
    <t>Proportion ruined</t>
  </si>
  <si>
    <t>Time limit (min)</t>
  </si>
  <si>
    <t># ruined</t>
  </si>
  <si>
    <t>U0=15</t>
  </si>
  <si>
    <t>theta=10%</t>
  </si>
  <si>
    <t>U0=25</t>
  </si>
  <si>
    <t>RESULTS</t>
  </si>
  <si>
    <t>#simulations</t>
  </si>
  <si>
    <t>time limit</t>
  </si>
</sst>
</file>

<file path=xl/styles.xml><?xml version="1.0" encoding="utf-8"?>
<styleSheet xmlns="http://schemas.openxmlformats.org/spreadsheetml/2006/main">
  <numFmts count="6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* #,##0_-;\-&quot;$&quot;* #,##0_-;_-&quot;$&quot;* &quot;-&quot;??_-;_-@_-"/>
    <numFmt numFmtId="165" formatCode="_-* #,##0_-;\-* #,##0_-;_-* &quot;-&quot;??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3" borderId="0" applyNumberFormat="0" applyBorder="0" applyAlignment="0" applyProtection="0"/>
  </cellStyleXfs>
  <cellXfs count="20">
    <xf numFmtId="0" fontId="0" fillId="0" borderId="0" xfId="0"/>
    <xf numFmtId="6" fontId="0" fillId="0" borderId="0" xfId="0" applyNumberFormat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164" fontId="0" fillId="0" borderId="0" xfId="1" applyNumberFormat="1" applyFont="1"/>
    <xf numFmtId="44" fontId="0" fillId="0" borderId="0" xfId="0" applyNumberFormat="1"/>
    <xf numFmtId="44" fontId="0" fillId="0" borderId="0" xfId="1" applyNumberFormat="1" applyFont="1"/>
    <xf numFmtId="0" fontId="0" fillId="0" borderId="1" xfId="0" applyBorder="1"/>
    <xf numFmtId="9" fontId="0" fillId="2" borderId="1" xfId="0" applyNumberFormat="1" applyFill="1" applyBorder="1"/>
    <xf numFmtId="0" fontId="0" fillId="2" borderId="1" xfId="0" applyFill="1" applyBorder="1"/>
    <xf numFmtId="164" fontId="0" fillId="2" borderId="1" xfId="1" applyNumberFormat="1" applyFont="1" applyFill="1" applyBorder="1"/>
    <xf numFmtId="165" fontId="0" fillId="2" borderId="1" xfId="2" applyNumberFormat="1" applyFont="1" applyFill="1" applyBorder="1"/>
    <xf numFmtId="165" fontId="0" fillId="0" borderId="0" xfId="2" applyNumberFormat="1" applyFont="1"/>
    <xf numFmtId="0" fontId="2" fillId="3" borderId="2" xfId="4" applyBorder="1"/>
    <xf numFmtId="165" fontId="0" fillId="0" borderId="1" xfId="2" applyNumberFormat="1" applyFont="1" applyBorder="1"/>
    <xf numFmtId="43" fontId="0" fillId="0" borderId="1" xfId="2" applyFont="1" applyBorder="1"/>
    <xf numFmtId="9" fontId="0" fillId="0" borderId="1" xfId="3" applyFont="1" applyBorder="1"/>
    <xf numFmtId="165" fontId="0" fillId="0" borderId="0" xfId="2" applyNumberFormat="1" applyFont="1" applyFill="1" applyBorder="1"/>
    <xf numFmtId="0" fontId="0" fillId="0" borderId="3" xfId="0" applyBorder="1"/>
  </cellXfs>
  <cellStyles count="5">
    <cellStyle name="Comma" xfId="2" builtinId="3"/>
    <cellStyle name="Currency" xfId="1" builtinId="4"/>
    <cellStyle name="Good" xfId="4" builtinId="26"/>
    <cellStyle name="Normal" xfId="0" builtinId="0"/>
    <cellStyle name="Percent" xfId="3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'FINITE-TIME RUIN'!$T$10:$T$20</c:f>
              <c:numCache>
                <c:formatCode>0%</c:formatCode>
                <c:ptCount val="11"/>
                <c:pt idx="0">
                  <c:v>0</c:v>
                </c:pt>
                <c:pt idx="1">
                  <c:v>7.3499999999999996E-2</c:v>
                </c:pt>
                <c:pt idx="2">
                  <c:v>0.14299999999999999</c:v>
                </c:pt>
                <c:pt idx="3">
                  <c:v>0.1565</c:v>
                </c:pt>
                <c:pt idx="4">
                  <c:v>0.17799999999999999</c:v>
                </c:pt>
                <c:pt idx="5">
                  <c:v>0.19350000000000001</c:v>
                </c:pt>
                <c:pt idx="6">
                  <c:v>0.20649999999999999</c:v>
                </c:pt>
                <c:pt idx="7">
                  <c:v>0.21099999999999999</c:v>
                </c:pt>
                <c:pt idx="8">
                  <c:v>0.22650000000000001</c:v>
                </c:pt>
                <c:pt idx="9">
                  <c:v>0.19900000000000001</c:v>
                </c:pt>
                <c:pt idx="10">
                  <c:v>0.219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'FINITE-TIME RUIN'!$U$10:$U$20</c:f>
              <c:numCache>
                <c:formatCode>0%</c:formatCode>
                <c:ptCount val="11"/>
                <c:pt idx="0">
                  <c:v>0</c:v>
                </c:pt>
                <c:pt idx="1">
                  <c:v>7.8E-2</c:v>
                </c:pt>
                <c:pt idx="2">
                  <c:v>0.11799999999999999</c:v>
                </c:pt>
                <c:pt idx="3">
                  <c:v>0.13</c:v>
                </c:pt>
                <c:pt idx="4">
                  <c:v>0.188</c:v>
                </c:pt>
                <c:pt idx="5">
                  <c:v>0.2</c:v>
                </c:pt>
                <c:pt idx="6">
                  <c:v>0.18</c:v>
                </c:pt>
                <c:pt idx="7">
                  <c:v>0.24399999999999999</c:v>
                </c:pt>
                <c:pt idx="8">
                  <c:v>0.23799999999999999</c:v>
                </c:pt>
                <c:pt idx="9">
                  <c:v>0.23</c:v>
                </c:pt>
                <c:pt idx="10">
                  <c:v>0.24199999999999999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'FINITE-TIME RUIN'!$S$10:$S$20</c:f>
              <c:numCache>
                <c:formatCode>0%</c:formatCode>
                <c:ptCount val="11"/>
                <c:pt idx="0">
                  <c:v>0</c:v>
                </c:pt>
                <c:pt idx="1">
                  <c:v>7.4499999999999997E-2</c:v>
                </c:pt>
                <c:pt idx="2">
                  <c:v>0.12529999999999999</c:v>
                </c:pt>
                <c:pt idx="3">
                  <c:v>0.1585</c:v>
                </c:pt>
                <c:pt idx="4">
                  <c:v>0.18590000000000001</c:v>
                </c:pt>
                <c:pt idx="5">
                  <c:v>0.1943</c:v>
                </c:pt>
                <c:pt idx="6">
                  <c:v>0.20530000000000001</c:v>
                </c:pt>
                <c:pt idx="7">
                  <c:v>0.21679999999999999</c:v>
                </c:pt>
                <c:pt idx="8">
                  <c:v>0.20930000000000001</c:v>
                </c:pt>
                <c:pt idx="9">
                  <c:v>0.21540000000000001</c:v>
                </c:pt>
                <c:pt idx="10">
                  <c:v>0.2203</c:v>
                </c:pt>
              </c:numCache>
            </c:numRef>
          </c:val>
        </c:ser>
        <c:marker val="1"/>
        <c:axId val="98190464"/>
        <c:axId val="98192000"/>
      </c:lineChart>
      <c:catAx>
        <c:axId val="98190464"/>
        <c:scaling>
          <c:orientation val="minMax"/>
        </c:scaling>
        <c:axPos val="b"/>
        <c:tickLblPos val="nextTo"/>
        <c:crossAx val="98192000"/>
        <c:crosses val="autoZero"/>
        <c:auto val="1"/>
        <c:lblAlgn val="ctr"/>
        <c:lblOffset val="100"/>
      </c:catAx>
      <c:valAx>
        <c:axId val="98192000"/>
        <c:scaling>
          <c:orientation val="minMax"/>
        </c:scaling>
        <c:axPos val="l"/>
        <c:majorGridlines/>
        <c:numFmt formatCode="0%" sourceLinked="1"/>
        <c:tickLblPos val="nextTo"/>
        <c:crossAx val="98190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1009650</xdr:colOff>
      <xdr:row>22</xdr:row>
      <xdr:rowOff>85725</xdr:rowOff>
    </xdr:from>
    <xdr:to>
      <xdr:col>13</xdr:col>
      <xdr:colOff>857250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523"/>
  <sheetViews>
    <sheetView tabSelected="1" workbookViewId="0">
      <selection activeCell="G7" sqref="G7"/>
    </sheetView>
  </sheetViews>
  <sheetFormatPr defaultRowHeight="15"/>
  <cols>
    <col min="1" max="1" width="10.5703125" bestFit="1" customWidth="1"/>
    <col min="2" max="2" width="13.42578125" bestFit="1" customWidth="1"/>
    <col min="3" max="3" width="13.42578125" customWidth="1"/>
    <col min="4" max="4" width="10" bestFit="1" customWidth="1"/>
    <col min="5" max="5" width="11" customWidth="1"/>
    <col min="6" max="6" width="15.7109375" bestFit="1" customWidth="1"/>
    <col min="9" max="9" width="16.28515625" bestFit="1" customWidth="1"/>
    <col min="10" max="10" width="19.28515625" bestFit="1" customWidth="1"/>
    <col min="11" max="11" width="17" bestFit="1" customWidth="1"/>
    <col min="14" max="14" width="16.140625" bestFit="1" customWidth="1"/>
    <col min="15" max="15" width="14.42578125" bestFit="1" customWidth="1"/>
    <col min="16" max="16" width="12.28515625" bestFit="1" customWidth="1"/>
    <col min="18" max="20" width="10.28515625" bestFit="1" customWidth="1"/>
  </cols>
  <sheetData>
    <row r="1" spans="1:21">
      <c r="F1" t="s">
        <v>21</v>
      </c>
      <c r="G1" s="12">
        <v>100</v>
      </c>
      <c r="I1" s="8" t="s">
        <v>0</v>
      </c>
      <c r="J1" s="9">
        <v>0.1</v>
      </c>
      <c r="M1" t="s">
        <v>4</v>
      </c>
      <c r="O1" t="s">
        <v>5</v>
      </c>
    </row>
    <row r="2" spans="1:21">
      <c r="G2" s="18"/>
      <c r="I2" s="8" t="s">
        <v>1</v>
      </c>
      <c r="J2" s="10">
        <v>1</v>
      </c>
      <c r="M2" t="s">
        <v>6</v>
      </c>
      <c r="O2" t="s">
        <v>7</v>
      </c>
    </row>
    <row r="3" spans="1:21">
      <c r="F3" t="s">
        <v>19</v>
      </c>
      <c r="G3" s="12">
        <v>100</v>
      </c>
      <c r="I3" s="8" t="s">
        <v>2</v>
      </c>
      <c r="J3" s="11">
        <v>1</v>
      </c>
      <c r="M3" s="5">
        <f>J3</f>
        <v>1</v>
      </c>
      <c r="O3">
        <f>1/J2</f>
        <v>1</v>
      </c>
    </row>
    <row r="4" spans="1:21" ht="15.75" thickBot="1">
      <c r="C4" t="s">
        <v>14</v>
      </c>
      <c r="I4" s="8" t="s">
        <v>3</v>
      </c>
      <c r="J4" s="11">
        <v>15</v>
      </c>
    </row>
    <row r="5" spans="1:21" ht="15.75" thickBot="1">
      <c r="A5" t="s">
        <v>9</v>
      </c>
      <c r="B5" t="s">
        <v>10</v>
      </c>
      <c r="C5" t="s">
        <v>15</v>
      </c>
      <c r="D5" t="s">
        <v>13</v>
      </c>
      <c r="F5" s="14" t="str">
        <f ca="1">IF(SUM(F9:F1523)&gt;0,"RUIN","No ruin")</f>
        <v>No ruin</v>
      </c>
      <c r="Q5" s="19" t="s">
        <v>26</v>
      </c>
      <c r="R5" s="19"/>
      <c r="S5" s="19"/>
      <c r="T5" s="19"/>
      <c r="U5" s="19"/>
    </row>
    <row r="6" spans="1:21">
      <c r="Q6" t="s">
        <v>24</v>
      </c>
      <c r="R6" t="s">
        <v>24</v>
      </c>
      <c r="S6" t="s">
        <v>24</v>
      </c>
      <c r="T6" t="s">
        <v>24</v>
      </c>
      <c r="U6" t="s">
        <v>24</v>
      </c>
    </row>
    <row r="7" spans="1:21">
      <c r="A7" t="s">
        <v>11</v>
      </c>
      <c r="B7" t="s">
        <v>8</v>
      </c>
      <c r="C7" t="s">
        <v>16</v>
      </c>
      <c r="D7" t="s">
        <v>12</v>
      </c>
      <c r="E7" t="s">
        <v>17</v>
      </c>
      <c r="I7" t="s">
        <v>18</v>
      </c>
      <c r="J7" t="s">
        <v>22</v>
      </c>
      <c r="K7" t="s">
        <v>20</v>
      </c>
      <c r="Q7" s="19" t="s">
        <v>25</v>
      </c>
      <c r="R7" s="19" t="s">
        <v>25</v>
      </c>
      <c r="S7" s="19" t="s">
        <v>23</v>
      </c>
      <c r="T7" s="19" t="s">
        <v>23</v>
      </c>
      <c r="U7" s="19" t="s">
        <v>23</v>
      </c>
    </row>
    <row r="8" spans="1:21">
      <c r="A8">
        <v>0</v>
      </c>
      <c r="B8">
        <v>0</v>
      </c>
      <c r="C8">
        <v>0</v>
      </c>
      <c r="D8">
        <v>0</v>
      </c>
      <c r="I8" s="15">
        <v>1</v>
      </c>
      <c r="J8" s="16">
        <v>12</v>
      </c>
      <c r="K8" s="17">
        <f>J8/G$3</f>
        <v>0.12</v>
      </c>
      <c r="N8" s="4"/>
      <c r="O8" s="1"/>
      <c r="Q8" t="s">
        <v>27</v>
      </c>
    </row>
    <row r="9" spans="1:21">
      <c r="A9" s="3">
        <f ca="1">-LN(1-RAND())*O$3</f>
        <v>9.5759618404267582E-2</v>
      </c>
      <c r="B9" s="2">
        <f ca="1">-LN(1-RAND())*M$3</f>
        <v>0.96738699691359564</v>
      </c>
      <c r="C9" s="2">
        <f ca="1">SUM(B$8:B9)</f>
        <v>0.96738699691359564</v>
      </c>
      <c r="D9" s="1">
        <f ca="1">(1+J$1)*(1/O$3)*M$3*A9</f>
        <v>0.10533558024469435</v>
      </c>
      <c r="E9" s="13" t="str">
        <f ca="1">IF(A9&gt;G$1,"No ruin",IF(AND(A9&lt;=G$1,C9&gt;J$4+D9),"RUIN","continue"))</f>
        <v>continue</v>
      </c>
      <c r="F9">
        <f ca="1">IF(E9="RUIN",1,0)</f>
        <v>0</v>
      </c>
      <c r="G9" s="2"/>
      <c r="I9" s="15">
        <v>50</v>
      </c>
      <c r="J9" s="16">
        <v>63</v>
      </c>
      <c r="K9" s="17">
        <f t="shared" ref="K8:K18" si="0">J9/G$3</f>
        <v>0.63</v>
      </c>
      <c r="M9" s="3"/>
      <c r="N9" s="4"/>
      <c r="P9" t="s">
        <v>28</v>
      </c>
      <c r="Q9">
        <v>10000</v>
      </c>
      <c r="R9">
        <v>2000</v>
      </c>
      <c r="S9">
        <v>10000</v>
      </c>
      <c r="T9">
        <v>2000</v>
      </c>
      <c r="U9">
        <v>500</v>
      </c>
    </row>
    <row r="10" spans="1:21">
      <c r="A10" s="3">
        <f ca="1">IF(E9="continue",-LN(1-RAND())*O$3+A9,"")</f>
        <v>0.47908889866271731</v>
      </c>
      <c r="B10" s="2">
        <f ca="1">IF(E9="continue",-LN(1-RAND())*M$3,"")</f>
        <v>0.25989886459838574</v>
      </c>
      <c r="C10" s="2">
        <f ca="1">IF(E9="continue",SUM(B$8:B10),"")</f>
        <v>1.2272858615119815</v>
      </c>
      <c r="D10" s="1">
        <f ca="1">IF(E9="continue",(1+J$1)*(1/O$3)*M$3*A10,"")</f>
        <v>0.52699778852898904</v>
      </c>
      <c r="E10" s="13" t="str">
        <f t="shared" ref="E10:E73" ca="1" si="1">IF(A10&gt;G$1,"No ruin",IF(AND(A10&lt;=G$1,C10&gt;J$4+D10),"RUIN","continue"))</f>
        <v>continue</v>
      </c>
      <c r="F10">
        <f t="shared" ref="F10:F73" ca="1" si="2">IF(E10="RUIN",1,0)</f>
        <v>0</v>
      </c>
      <c r="G10" s="2"/>
      <c r="I10" s="15">
        <v>100</v>
      </c>
      <c r="J10" s="16">
        <v>71</v>
      </c>
      <c r="K10" s="17">
        <f t="shared" si="0"/>
        <v>0.71</v>
      </c>
      <c r="M10" s="3"/>
      <c r="N10" s="6"/>
      <c r="O10" s="4"/>
      <c r="P10" s="15">
        <v>1</v>
      </c>
      <c r="Q10" s="17">
        <v>0</v>
      </c>
      <c r="R10" s="17">
        <v>0</v>
      </c>
      <c r="S10" s="17">
        <v>0</v>
      </c>
      <c r="T10" s="17">
        <v>0</v>
      </c>
      <c r="U10" s="17">
        <v>0</v>
      </c>
    </row>
    <row r="11" spans="1:21">
      <c r="A11" s="3">
        <f ca="1">IF(E10="continue",-LN(1-RAND())*O$3+A10,"")</f>
        <v>2.761057438268983</v>
      </c>
      <c r="B11" s="2">
        <f ca="1">IF(E10="continue",-LN(1-RAND())*M$3,"")</f>
        <v>0.71425688522097175</v>
      </c>
      <c r="C11" s="2">
        <f ca="1">IF(E10="continue",SUM(B$8:B11),"")</f>
        <v>1.9415427467329534</v>
      </c>
      <c r="D11" s="1">
        <f t="shared" ref="D11:D74" ca="1" si="3">IF(E10="continue",(1+J$1)*(1/O$3)*M$3*A11,"")</f>
        <v>3.0371631820958815</v>
      </c>
      <c r="E11" s="13" t="str">
        <f t="shared" ca="1" si="1"/>
        <v>continue</v>
      </c>
      <c r="F11">
        <f t="shared" ca="1" si="2"/>
        <v>0</v>
      </c>
      <c r="G11" s="2"/>
      <c r="I11" s="15">
        <v>150</v>
      </c>
      <c r="J11" s="16">
        <v>78</v>
      </c>
      <c r="K11" s="17">
        <f t="shared" si="0"/>
        <v>0.78</v>
      </c>
      <c r="M11" s="3"/>
      <c r="N11" s="4"/>
      <c r="P11" s="15">
        <v>50</v>
      </c>
      <c r="Q11" s="17">
        <v>8.0999999999999996E-3</v>
      </c>
      <c r="R11" s="17">
        <v>7.0000000000000001E-3</v>
      </c>
      <c r="S11" s="17">
        <v>7.4499999999999997E-2</v>
      </c>
      <c r="T11" s="17">
        <v>7.3499999999999996E-2</v>
      </c>
      <c r="U11" s="17">
        <v>7.8E-2</v>
      </c>
    </row>
    <row r="12" spans="1:21">
      <c r="A12" s="3">
        <f t="shared" ref="A12:A75" ca="1" si="4">IF(E11="continue",-LN(1-RAND())*O$3+A11,"")</f>
        <v>3.815944990262258</v>
      </c>
      <c r="B12" s="2">
        <f t="shared" ref="B12:B75" ca="1" si="5">IF(E11="continue",-LN(1-RAND())*M$3,"")</f>
        <v>0.43301106479163243</v>
      </c>
      <c r="C12" s="2">
        <f ca="1">IF(E11="continue",SUM(B$8:B12),"")</f>
        <v>2.3745538115245859</v>
      </c>
      <c r="D12" s="1">
        <f t="shared" ca="1" si="3"/>
        <v>4.1975394892884843</v>
      </c>
      <c r="E12" s="13" t="str">
        <f t="shared" ca="1" si="1"/>
        <v>continue</v>
      </c>
      <c r="F12">
        <f t="shared" ca="1" si="2"/>
        <v>0</v>
      </c>
      <c r="G12" s="2"/>
      <c r="I12" s="15">
        <v>200</v>
      </c>
      <c r="J12" s="16">
        <v>76</v>
      </c>
      <c r="K12" s="17">
        <f t="shared" si="0"/>
        <v>0.76</v>
      </c>
      <c r="M12" s="3"/>
      <c r="N12" s="6"/>
      <c r="O12" s="4"/>
      <c r="P12" s="15">
        <v>100</v>
      </c>
      <c r="Q12" s="17">
        <v>2.5499999999999998E-2</v>
      </c>
      <c r="R12" s="17">
        <v>2.3E-2</v>
      </c>
      <c r="S12" s="17">
        <v>0.12529999999999999</v>
      </c>
      <c r="T12" s="17">
        <v>0.14299999999999999</v>
      </c>
      <c r="U12" s="17">
        <v>0.11799999999999999</v>
      </c>
    </row>
    <row r="13" spans="1:21">
      <c r="A13" s="3">
        <f t="shared" ca="1" si="4"/>
        <v>3.8494835828977929</v>
      </c>
      <c r="B13" s="2">
        <f t="shared" ca="1" si="5"/>
        <v>0.69861809133663511</v>
      </c>
      <c r="C13" s="2">
        <f ca="1">IF(E12="continue",SUM(B$8:B13),"")</f>
        <v>3.0731719028612208</v>
      </c>
      <c r="D13" s="1">
        <f t="shared" ca="1" si="3"/>
        <v>4.2344319411875722</v>
      </c>
      <c r="E13" s="13" t="str">
        <f t="shared" ca="1" si="1"/>
        <v>continue</v>
      </c>
      <c r="F13">
        <f t="shared" ca="1" si="2"/>
        <v>0</v>
      </c>
      <c r="G13" s="2"/>
      <c r="I13" s="15">
        <v>250</v>
      </c>
      <c r="J13" s="16">
        <v>67</v>
      </c>
      <c r="K13" s="17">
        <f t="shared" si="0"/>
        <v>0.67</v>
      </c>
      <c r="M13" s="3"/>
      <c r="N13" s="4"/>
      <c r="P13" s="15">
        <v>150</v>
      </c>
      <c r="Q13" s="17">
        <v>4.1599999999999998E-2</v>
      </c>
      <c r="R13" s="17">
        <v>4.7E-2</v>
      </c>
      <c r="S13" s="17">
        <v>0.1585</v>
      </c>
      <c r="T13" s="17">
        <v>0.1565</v>
      </c>
      <c r="U13" s="17">
        <v>0.13</v>
      </c>
    </row>
    <row r="14" spans="1:21">
      <c r="A14" s="3">
        <f t="shared" ca="1" si="4"/>
        <v>5.6446403868774659</v>
      </c>
      <c r="B14" s="2">
        <f t="shared" ca="1" si="5"/>
        <v>1.5939566062642059</v>
      </c>
      <c r="C14" s="2">
        <f ca="1">IF(E13="continue",SUM(B$8:B14),"")</f>
        <v>4.6671285091254262</v>
      </c>
      <c r="D14" s="1">
        <f t="shared" ca="1" si="3"/>
        <v>6.2091044255652132</v>
      </c>
      <c r="E14" s="13" t="str">
        <f t="shared" ca="1" si="1"/>
        <v>continue</v>
      </c>
      <c r="F14">
        <f t="shared" ca="1" si="2"/>
        <v>0</v>
      </c>
      <c r="G14" s="2"/>
      <c r="I14" s="15">
        <v>300</v>
      </c>
      <c r="J14" s="16">
        <v>72</v>
      </c>
      <c r="K14" s="17">
        <f t="shared" si="0"/>
        <v>0.72</v>
      </c>
      <c r="M14" s="3"/>
      <c r="N14" s="6"/>
      <c r="O14" s="4"/>
      <c r="P14" s="15">
        <v>200</v>
      </c>
      <c r="Q14" s="17">
        <v>5.8000000000000003E-2</v>
      </c>
      <c r="R14" s="17">
        <v>4.8000000000000001E-2</v>
      </c>
      <c r="S14" s="17">
        <v>0.18590000000000001</v>
      </c>
      <c r="T14" s="17">
        <v>0.17799999999999999</v>
      </c>
      <c r="U14" s="17">
        <v>0.188</v>
      </c>
    </row>
    <row r="15" spans="1:21">
      <c r="A15" s="3">
        <f t="shared" ca="1" si="4"/>
        <v>7.5186797998255015</v>
      </c>
      <c r="B15" s="2">
        <f t="shared" ca="1" si="5"/>
        <v>0.93959352321723655</v>
      </c>
      <c r="C15" s="2">
        <f ca="1">IF(E14="continue",SUM(B$8:B15),"")</f>
        <v>5.6067220323426632</v>
      </c>
      <c r="D15" s="1">
        <f t="shared" ca="1" si="3"/>
        <v>8.2705477798080516</v>
      </c>
      <c r="E15" s="13" t="str">
        <f t="shared" ca="1" si="1"/>
        <v>continue</v>
      </c>
      <c r="F15">
        <f t="shared" ca="1" si="2"/>
        <v>0</v>
      </c>
      <c r="G15" s="2"/>
      <c r="I15" s="15">
        <v>350</v>
      </c>
      <c r="J15" s="16">
        <v>74</v>
      </c>
      <c r="K15" s="17">
        <f t="shared" si="0"/>
        <v>0.74</v>
      </c>
      <c r="M15" s="3"/>
      <c r="N15" s="4"/>
      <c r="P15" s="15">
        <v>250</v>
      </c>
      <c r="Q15" s="17">
        <v>6.2899999999999998E-2</v>
      </c>
      <c r="R15" s="17">
        <v>6.0999999999999999E-2</v>
      </c>
      <c r="S15" s="17">
        <v>0.1943</v>
      </c>
      <c r="T15" s="17">
        <v>0.19350000000000001</v>
      </c>
      <c r="U15" s="17">
        <v>0.2</v>
      </c>
    </row>
    <row r="16" spans="1:21">
      <c r="A16" s="3">
        <f t="shared" ca="1" si="4"/>
        <v>10.776674657710819</v>
      </c>
      <c r="B16" s="2">
        <f t="shared" ca="1" si="5"/>
        <v>2.0410539282215461</v>
      </c>
      <c r="C16" s="2">
        <f ca="1">IF(E15="continue",SUM(B$8:B16),"")</f>
        <v>7.6477759605642088</v>
      </c>
      <c r="D16" s="1">
        <f t="shared" ca="1" si="3"/>
        <v>11.854342123481901</v>
      </c>
      <c r="E16" s="13" t="str">
        <f ca="1">IF(A16&gt;G$1,"No ruin",IF(AND(A16&lt;=G$1,C16&gt;J$4+D16),"RUIN","continue"))</f>
        <v>continue</v>
      </c>
      <c r="F16">
        <f t="shared" ca="1" si="2"/>
        <v>0</v>
      </c>
      <c r="G16" s="2"/>
      <c r="I16" s="15">
        <v>400</v>
      </c>
      <c r="J16" s="16">
        <v>83</v>
      </c>
      <c r="K16" s="17">
        <f t="shared" si="0"/>
        <v>0.83</v>
      </c>
      <c r="M16" s="3"/>
      <c r="N16" s="6"/>
      <c r="O16" s="4"/>
      <c r="P16" s="15">
        <v>300</v>
      </c>
      <c r="Q16" s="17">
        <v>7.0400000000000004E-2</v>
      </c>
      <c r="R16" s="17">
        <v>7.9000000000000001E-2</v>
      </c>
      <c r="S16" s="17">
        <v>0.20530000000000001</v>
      </c>
      <c r="T16" s="17">
        <v>0.20649999999999999</v>
      </c>
      <c r="U16" s="17">
        <v>0.18</v>
      </c>
    </row>
    <row r="17" spans="1:21">
      <c r="A17" s="3">
        <f t="shared" ca="1" si="4"/>
        <v>10.867848586054688</v>
      </c>
      <c r="B17" s="2">
        <f t="shared" ca="1" si="5"/>
        <v>1.1725289086587263</v>
      </c>
      <c r="C17" s="2">
        <f ca="1">IF(E16="continue",SUM(B$8:B17),"")</f>
        <v>8.8203048692229356</v>
      </c>
      <c r="D17" s="1">
        <f t="shared" ca="1" si="3"/>
        <v>11.954633444660157</v>
      </c>
      <c r="E17" s="13" t="str">
        <f t="shared" ca="1" si="1"/>
        <v>continue</v>
      </c>
      <c r="F17">
        <f t="shared" ca="1" si="2"/>
        <v>0</v>
      </c>
      <c r="G17" s="2"/>
      <c r="I17" s="15">
        <v>450</v>
      </c>
      <c r="J17" s="16">
        <v>75</v>
      </c>
      <c r="K17" s="17">
        <f t="shared" si="0"/>
        <v>0.75</v>
      </c>
      <c r="M17" s="3"/>
      <c r="N17" s="4"/>
      <c r="P17" s="15">
        <v>350</v>
      </c>
      <c r="Q17" s="17">
        <v>7.0999999999999994E-2</v>
      </c>
      <c r="R17" s="17">
        <v>7.2499999999999995E-2</v>
      </c>
      <c r="S17" s="17">
        <v>0.21679999999999999</v>
      </c>
      <c r="T17" s="17">
        <v>0.21099999999999999</v>
      </c>
      <c r="U17" s="17">
        <v>0.24399999999999999</v>
      </c>
    </row>
    <row r="18" spans="1:21">
      <c r="A18" s="3">
        <f t="shared" ca="1" si="4"/>
        <v>11.946629102578189</v>
      </c>
      <c r="B18" s="2">
        <f t="shared" ca="1" si="5"/>
        <v>1.259828460351085</v>
      </c>
      <c r="C18" s="2">
        <f ca="1">IF(E17="continue",SUM(B$8:B18),"")</f>
        <v>10.080133329574021</v>
      </c>
      <c r="D18" s="1">
        <f t="shared" ca="1" si="3"/>
        <v>13.14129201283601</v>
      </c>
      <c r="E18" s="13" t="str">
        <f t="shared" ca="1" si="1"/>
        <v>continue</v>
      </c>
      <c r="F18">
        <f t="shared" ca="1" si="2"/>
        <v>0</v>
      </c>
      <c r="G18" s="2"/>
      <c r="I18" s="15">
        <v>500</v>
      </c>
      <c r="J18" s="16">
        <v>69</v>
      </c>
      <c r="K18" s="17">
        <f t="shared" si="0"/>
        <v>0.69</v>
      </c>
      <c r="M18" s="3"/>
      <c r="N18" s="6"/>
      <c r="O18" s="7"/>
      <c r="P18" s="15">
        <v>400</v>
      </c>
      <c r="Q18" s="17">
        <v>8.4099999999999994E-2</v>
      </c>
      <c r="R18" s="17">
        <v>8.1500000000000003E-2</v>
      </c>
      <c r="S18" s="17">
        <v>0.20930000000000001</v>
      </c>
      <c r="T18" s="17">
        <v>0.22650000000000001</v>
      </c>
      <c r="U18" s="17">
        <v>0.23799999999999999</v>
      </c>
    </row>
    <row r="19" spans="1:21">
      <c r="A19" s="3">
        <f t="shared" ca="1" si="4"/>
        <v>12.639766251987096</v>
      </c>
      <c r="B19" s="2">
        <f t="shared" ca="1" si="5"/>
        <v>0.17116505664213558</v>
      </c>
      <c r="C19" s="2">
        <f ca="1">IF(E18="continue",SUM(B$8:B19),"")</f>
        <v>10.251298386216156</v>
      </c>
      <c r="D19" s="1">
        <f t="shared" ca="1" si="3"/>
        <v>13.903742877185806</v>
      </c>
      <c r="E19" s="13" t="str">
        <f t="shared" ca="1" si="1"/>
        <v>continue</v>
      </c>
      <c r="F19">
        <f t="shared" ca="1" si="2"/>
        <v>0</v>
      </c>
      <c r="G19" s="2"/>
      <c r="M19" s="3"/>
      <c r="N19" s="4"/>
      <c r="P19" s="15">
        <v>450</v>
      </c>
      <c r="Q19" s="17">
        <v>8.2000000000000003E-2</v>
      </c>
      <c r="R19" s="17">
        <v>8.3500000000000005E-2</v>
      </c>
      <c r="S19" s="17">
        <v>0.21540000000000001</v>
      </c>
      <c r="T19" s="17">
        <v>0.19900000000000001</v>
      </c>
      <c r="U19" s="17">
        <v>0.23</v>
      </c>
    </row>
    <row r="20" spans="1:21">
      <c r="A20" s="3">
        <f t="shared" ca="1" si="4"/>
        <v>14.067314016607503</v>
      </c>
      <c r="B20" s="2">
        <f t="shared" ca="1" si="5"/>
        <v>0.8381951404710648</v>
      </c>
      <c r="C20" s="2">
        <f ca="1">IF(E19="continue",SUM(B$8:B20),"")</f>
        <v>11.089493526687221</v>
      </c>
      <c r="D20" s="1">
        <f t="shared" ca="1" si="3"/>
        <v>15.474045418268254</v>
      </c>
      <c r="E20" s="13" t="str">
        <f t="shared" ca="1" si="1"/>
        <v>continue</v>
      </c>
      <c r="F20">
        <f t="shared" ca="1" si="2"/>
        <v>0</v>
      </c>
      <c r="G20" s="2"/>
      <c r="M20" s="3"/>
      <c r="N20" s="6"/>
      <c r="O20" s="7"/>
      <c r="P20" s="15">
        <v>500</v>
      </c>
      <c r="Q20" s="17">
        <v>8.1299999999999997E-2</v>
      </c>
      <c r="R20" s="17">
        <v>9.2999999999999999E-2</v>
      </c>
      <c r="S20" s="17">
        <v>0.2203</v>
      </c>
      <c r="T20" s="17">
        <v>0.219</v>
      </c>
      <c r="U20" s="17">
        <v>0.24199999999999999</v>
      </c>
    </row>
    <row r="21" spans="1:21">
      <c r="A21" s="3">
        <f t="shared" ca="1" si="4"/>
        <v>14.884750797957087</v>
      </c>
      <c r="B21" s="2">
        <f t="shared" ca="1" si="5"/>
        <v>0.14702613500881256</v>
      </c>
      <c r="C21" s="2">
        <f ca="1">IF(E20="continue",SUM(B$8:B21),"")</f>
        <v>11.236519661696034</v>
      </c>
      <c r="D21" s="1">
        <f t="shared" ca="1" si="3"/>
        <v>16.373225877752798</v>
      </c>
      <c r="E21" s="13" t="str">
        <f t="shared" ca="1" si="1"/>
        <v>continue</v>
      </c>
      <c r="F21">
        <f t="shared" ca="1" si="2"/>
        <v>0</v>
      </c>
      <c r="G21" s="2"/>
      <c r="M21" s="3"/>
      <c r="N21" s="4"/>
      <c r="Q21" s="6"/>
    </row>
    <row r="22" spans="1:21">
      <c r="A22" s="3">
        <f t="shared" ca="1" si="4"/>
        <v>15.739248790985084</v>
      </c>
      <c r="B22" s="2">
        <f t="shared" ca="1" si="5"/>
        <v>0.8827857637182509</v>
      </c>
      <c r="C22" s="2">
        <f ca="1">IF(E21="continue",SUM(B$8:B22),"")</f>
        <v>12.119305425414286</v>
      </c>
      <c r="D22" s="1">
        <f t="shared" ca="1" si="3"/>
        <v>17.313173670083593</v>
      </c>
      <c r="E22" s="13" t="str">
        <f t="shared" ca="1" si="1"/>
        <v>continue</v>
      </c>
      <c r="F22">
        <f t="shared" ca="1" si="2"/>
        <v>0</v>
      </c>
      <c r="G22" s="2"/>
      <c r="M22" s="3"/>
      <c r="N22" s="6"/>
      <c r="O22" s="7"/>
      <c r="Q22" s="6"/>
    </row>
    <row r="23" spans="1:21">
      <c r="A23" s="3">
        <f t="shared" ca="1" si="4"/>
        <v>19.462815665578105</v>
      </c>
      <c r="B23" s="2">
        <f t="shared" ca="1" si="5"/>
        <v>1.1424858240897786</v>
      </c>
      <c r="C23" s="2">
        <f ca="1">IF(E22="continue",SUM(B$8:B23),"")</f>
        <v>13.261791249504064</v>
      </c>
      <c r="D23" s="1">
        <f t="shared" ca="1" si="3"/>
        <v>21.409097232135917</v>
      </c>
      <c r="E23" s="13" t="str">
        <f t="shared" ca="1" si="1"/>
        <v>continue</v>
      </c>
      <c r="F23">
        <f t="shared" ca="1" si="2"/>
        <v>0</v>
      </c>
      <c r="G23" s="2"/>
      <c r="M23" s="3"/>
      <c r="N23" s="4"/>
      <c r="Q23" s="6"/>
    </row>
    <row r="24" spans="1:21">
      <c r="A24" s="3">
        <f t="shared" ca="1" si="4"/>
        <v>20.842938563220009</v>
      </c>
      <c r="B24" s="2">
        <f t="shared" ca="1" si="5"/>
        <v>0.82825184009568908</v>
      </c>
      <c r="C24" s="2">
        <f ca="1">IF(E23="continue",SUM(B$8:B24),"")</f>
        <v>14.090043089599753</v>
      </c>
      <c r="D24" s="1">
        <f t="shared" ca="1" si="3"/>
        <v>22.927232419542012</v>
      </c>
      <c r="E24" s="13" t="str">
        <f t="shared" ca="1" si="1"/>
        <v>continue</v>
      </c>
      <c r="F24">
        <f t="shared" ca="1" si="2"/>
        <v>0</v>
      </c>
      <c r="G24" s="2"/>
      <c r="M24" s="3"/>
      <c r="N24" s="6"/>
      <c r="O24" s="7"/>
      <c r="Q24" s="6"/>
    </row>
    <row r="25" spans="1:21">
      <c r="A25" s="3">
        <f t="shared" ca="1" si="4"/>
        <v>20.910761820661943</v>
      </c>
      <c r="B25" s="2">
        <f t="shared" ca="1" si="5"/>
        <v>1.8777145897277998</v>
      </c>
      <c r="C25" s="2">
        <f ca="1">IF(E24="continue",SUM(B$8:B25),"")</f>
        <v>15.967757679327553</v>
      </c>
      <c r="D25" s="1">
        <f t="shared" ca="1" si="3"/>
        <v>23.001838002728139</v>
      </c>
      <c r="E25" s="13" t="str">
        <f t="shared" ca="1" si="1"/>
        <v>continue</v>
      </c>
      <c r="F25">
        <f t="shared" ca="1" si="2"/>
        <v>0</v>
      </c>
      <c r="G25" s="2"/>
      <c r="M25" s="3"/>
      <c r="N25" s="6"/>
    </row>
    <row r="26" spans="1:21">
      <c r="A26" s="3">
        <f t="shared" ca="1" si="4"/>
        <v>21.19627611108999</v>
      </c>
      <c r="B26" s="2">
        <f t="shared" ca="1" si="5"/>
        <v>0.31039366136801827</v>
      </c>
      <c r="C26" s="2">
        <f ca="1">IF(E25="continue",SUM(B$8:B26),"")</f>
        <v>16.278151340695572</v>
      </c>
      <c r="D26" s="1">
        <f t="shared" ca="1" si="3"/>
        <v>23.315903722198989</v>
      </c>
      <c r="E26" s="13" t="str">
        <f t="shared" ca="1" si="1"/>
        <v>continue</v>
      </c>
      <c r="F26">
        <f t="shared" ca="1" si="2"/>
        <v>0</v>
      </c>
      <c r="M26" s="3"/>
      <c r="N26" s="6"/>
    </row>
    <row r="27" spans="1:21">
      <c r="A27" s="3">
        <f t="shared" ca="1" si="4"/>
        <v>23.192138814266944</v>
      </c>
      <c r="B27" s="2">
        <f t="shared" ca="1" si="5"/>
        <v>1.3122500445578811</v>
      </c>
      <c r="C27" s="2">
        <f ca="1">IF(E26="continue",SUM(B$8:B27),"")</f>
        <v>17.590401385253454</v>
      </c>
      <c r="D27" s="1">
        <f t="shared" ca="1" si="3"/>
        <v>25.511352695693638</v>
      </c>
      <c r="E27" s="13" t="str">
        <f t="shared" ca="1" si="1"/>
        <v>continue</v>
      </c>
      <c r="F27">
        <f t="shared" ca="1" si="2"/>
        <v>0</v>
      </c>
      <c r="M27" s="3"/>
      <c r="N27" s="6"/>
    </row>
    <row r="28" spans="1:21">
      <c r="A28" s="3">
        <f t="shared" ca="1" si="4"/>
        <v>24.803714182600942</v>
      </c>
      <c r="B28" s="2">
        <f t="shared" ca="1" si="5"/>
        <v>2.2026088340629455</v>
      </c>
      <c r="C28" s="2">
        <f ca="1">IF(E27="continue",SUM(B$8:B28),"")</f>
        <v>19.7930102193164</v>
      </c>
      <c r="D28" s="1">
        <f t="shared" ca="1" si="3"/>
        <v>27.284085600861037</v>
      </c>
      <c r="E28" s="13" t="str">
        <f t="shared" ca="1" si="1"/>
        <v>continue</v>
      </c>
      <c r="F28">
        <f t="shared" ca="1" si="2"/>
        <v>0</v>
      </c>
      <c r="M28" s="3"/>
      <c r="N28" s="6"/>
    </row>
    <row r="29" spans="1:21">
      <c r="A29" s="3">
        <f t="shared" ca="1" si="4"/>
        <v>25.30065783219105</v>
      </c>
      <c r="B29" s="2">
        <f t="shared" ca="1" si="5"/>
        <v>0.23576049106035571</v>
      </c>
      <c r="C29" s="2">
        <f ca="1">IF(E28="continue",SUM(B$8:B29),"")</f>
        <v>20.028770710376754</v>
      </c>
      <c r="D29" s="1">
        <f t="shared" ca="1" si="3"/>
        <v>27.830723615410157</v>
      </c>
      <c r="E29" s="13" t="str">
        <f t="shared" ca="1" si="1"/>
        <v>continue</v>
      </c>
      <c r="F29">
        <f t="shared" ca="1" si="2"/>
        <v>0</v>
      </c>
      <c r="M29" s="3"/>
      <c r="N29" s="6"/>
    </row>
    <row r="30" spans="1:21">
      <c r="A30" s="3">
        <f t="shared" ca="1" si="4"/>
        <v>25.672137942750453</v>
      </c>
      <c r="B30" s="2">
        <f t="shared" ca="1" si="5"/>
        <v>1.4101677144684813E-2</v>
      </c>
      <c r="C30" s="2">
        <f ca="1">IF(E29="continue",SUM(B$8:B30),"")</f>
        <v>20.042872387521438</v>
      </c>
      <c r="D30" s="1">
        <f t="shared" ca="1" si="3"/>
        <v>28.239351737025501</v>
      </c>
      <c r="E30" s="13" t="str">
        <f t="shared" ca="1" si="1"/>
        <v>continue</v>
      </c>
      <c r="F30">
        <f t="shared" ca="1" si="2"/>
        <v>0</v>
      </c>
      <c r="M30" s="3"/>
      <c r="N30" s="6"/>
    </row>
    <row r="31" spans="1:21">
      <c r="A31" s="3">
        <f t="shared" ca="1" si="4"/>
        <v>27.534129200628108</v>
      </c>
      <c r="B31" s="2">
        <f t="shared" ca="1" si="5"/>
        <v>0.87931223106157708</v>
      </c>
      <c r="C31" s="2">
        <f ca="1">IF(E30="continue",SUM(B$8:B31),"")</f>
        <v>20.922184618583014</v>
      </c>
      <c r="D31" s="1">
        <f t="shared" ca="1" si="3"/>
        <v>30.287542120690922</v>
      </c>
      <c r="E31" s="13" t="str">
        <f t="shared" ca="1" si="1"/>
        <v>continue</v>
      </c>
      <c r="F31">
        <f t="shared" ca="1" si="2"/>
        <v>0</v>
      </c>
      <c r="M31" s="3"/>
      <c r="N31" s="6"/>
    </row>
    <row r="32" spans="1:21">
      <c r="A32" s="3">
        <f t="shared" ca="1" si="4"/>
        <v>27.974932088004607</v>
      </c>
      <c r="B32" s="2">
        <f t="shared" ca="1" si="5"/>
        <v>0.84256395931418104</v>
      </c>
      <c r="C32" s="2">
        <f ca="1">IF(E31="continue",SUM(B$8:B32),"")</f>
        <v>21.764748577897194</v>
      </c>
      <c r="D32" s="1">
        <f t="shared" ca="1" si="3"/>
        <v>30.772425296805071</v>
      </c>
      <c r="E32" s="13" t="str">
        <f t="shared" ca="1" si="1"/>
        <v>continue</v>
      </c>
      <c r="F32">
        <f t="shared" ca="1" si="2"/>
        <v>0</v>
      </c>
      <c r="M32" s="3"/>
      <c r="N32" s="6"/>
    </row>
    <row r="33" spans="1:14">
      <c r="A33" s="3">
        <f t="shared" ca="1" si="4"/>
        <v>28.564572555402346</v>
      </c>
      <c r="B33" s="2">
        <f t="shared" ca="1" si="5"/>
        <v>0.37700398563016224</v>
      </c>
      <c r="C33" s="2">
        <f ca="1">IF(E32="continue",SUM(B$8:B33),"")</f>
        <v>22.141752563527355</v>
      </c>
      <c r="D33" s="1">
        <f t="shared" ca="1" si="3"/>
        <v>31.421029810942585</v>
      </c>
      <c r="E33" s="13" t="str">
        <f t="shared" ca="1" si="1"/>
        <v>continue</v>
      </c>
      <c r="F33">
        <f t="shared" ca="1" si="2"/>
        <v>0</v>
      </c>
      <c r="M33" s="3"/>
      <c r="N33" s="6"/>
    </row>
    <row r="34" spans="1:14">
      <c r="A34" s="3">
        <f t="shared" ca="1" si="4"/>
        <v>29.640115630513101</v>
      </c>
      <c r="B34" s="2">
        <f t="shared" ca="1" si="5"/>
        <v>3.3516060832222611E-2</v>
      </c>
      <c r="C34" s="2">
        <f ca="1">IF(E33="continue",SUM(B$8:B34),"")</f>
        <v>22.175268624359578</v>
      </c>
      <c r="D34" s="1">
        <f t="shared" ca="1" si="3"/>
        <v>32.604127193564416</v>
      </c>
      <c r="E34" s="13" t="str">
        <f t="shared" ca="1" si="1"/>
        <v>continue</v>
      </c>
      <c r="F34">
        <f t="shared" ca="1" si="2"/>
        <v>0</v>
      </c>
      <c r="M34" s="3"/>
      <c r="N34" s="6"/>
    </row>
    <row r="35" spans="1:14">
      <c r="A35" s="3">
        <f t="shared" ca="1" si="4"/>
        <v>31.145807646340483</v>
      </c>
      <c r="B35" s="2">
        <f t="shared" ca="1" si="5"/>
        <v>2.4688473250271916</v>
      </c>
      <c r="C35" s="2">
        <f ca="1">IF(E34="continue",SUM(B$8:B35),"")</f>
        <v>24.644115949386769</v>
      </c>
      <c r="D35" s="1">
        <f t="shared" ca="1" si="3"/>
        <v>34.260388410974535</v>
      </c>
      <c r="E35" s="13" t="str">
        <f t="shared" ca="1" si="1"/>
        <v>continue</v>
      </c>
      <c r="F35">
        <f t="shared" ca="1" si="2"/>
        <v>0</v>
      </c>
    </row>
    <row r="36" spans="1:14">
      <c r="A36" s="3">
        <f t="shared" ca="1" si="4"/>
        <v>31.384975980161418</v>
      </c>
      <c r="B36" s="2">
        <f t="shared" ca="1" si="5"/>
        <v>2.0502954685650581</v>
      </c>
      <c r="C36" s="2">
        <f ca="1">IF(E35="continue",SUM(B$8:B36),"")</f>
        <v>26.694411417951827</v>
      </c>
      <c r="D36" s="1">
        <f t="shared" ca="1" si="3"/>
        <v>34.523473578177565</v>
      </c>
      <c r="E36" s="13" t="str">
        <f t="shared" ca="1" si="1"/>
        <v>continue</v>
      </c>
      <c r="F36">
        <f t="shared" ca="1" si="2"/>
        <v>0</v>
      </c>
    </row>
    <row r="37" spans="1:14">
      <c r="A37" s="3">
        <f t="shared" ca="1" si="4"/>
        <v>33.845094096419828</v>
      </c>
      <c r="B37" s="2">
        <f t="shared" ca="1" si="5"/>
        <v>1.4701318249224937</v>
      </c>
      <c r="C37" s="2">
        <f ca="1">IF(E36="continue",SUM(B$8:B37),"")</f>
        <v>28.16454324287432</v>
      </c>
      <c r="D37" s="1">
        <f t="shared" ca="1" si="3"/>
        <v>37.229603506061814</v>
      </c>
      <c r="E37" s="13" t="str">
        <f t="shared" ca="1" si="1"/>
        <v>continue</v>
      </c>
      <c r="F37">
        <f t="shared" ca="1" si="2"/>
        <v>0</v>
      </c>
    </row>
    <row r="38" spans="1:14">
      <c r="A38" s="3">
        <f t="shared" ca="1" si="4"/>
        <v>33.905132541043095</v>
      </c>
      <c r="B38" s="2">
        <f t="shared" ca="1" si="5"/>
        <v>1.6678934472555251</v>
      </c>
      <c r="C38" s="2">
        <f ca="1">IF(E37="continue",SUM(B$8:B38),"")</f>
        <v>29.832436690129846</v>
      </c>
      <c r="D38" s="1">
        <f t="shared" ca="1" si="3"/>
        <v>37.295645795147408</v>
      </c>
      <c r="E38" s="13" t="str">
        <f t="shared" ca="1" si="1"/>
        <v>continue</v>
      </c>
      <c r="F38">
        <f t="shared" ca="1" si="2"/>
        <v>0</v>
      </c>
    </row>
    <row r="39" spans="1:14">
      <c r="A39" s="3">
        <f t="shared" ca="1" si="4"/>
        <v>33.920910572521592</v>
      </c>
      <c r="B39" s="2">
        <f t="shared" ca="1" si="5"/>
        <v>1.5912386602930679</v>
      </c>
      <c r="C39" s="2">
        <f ca="1">IF(E38="continue",SUM(B$8:B39),"")</f>
        <v>31.423675350422915</v>
      </c>
      <c r="D39" s="1">
        <f t="shared" ca="1" si="3"/>
        <v>37.313001629773751</v>
      </c>
      <c r="E39" s="13" t="str">
        <f t="shared" ca="1" si="1"/>
        <v>continue</v>
      </c>
      <c r="F39">
        <f t="shared" ca="1" si="2"/>
        <v>0</v>
      </c>
    </row>
    <row r="40" spans="1:14">
      <c r="A40" s="3">
        <f t="shared" ca="1" si="4"/>
        <v>34.591163423981577</v>
      </c>
      <c r="B40" s="2">
        <f t="shared" ca="1" si="5"/>
        <v>0.8907972519265972</v>
      </c>
      <c r="C40" s="2">
        <f ca="1">IF(E39="continue",SUM(B$8:B40),"")</f>
        <v>32.314472602349511</v>
      </c>
      <c r="D40" s="1">
        <f t="shared" ca="1" si="3"/>
        <v>38.050279766379738</v>
      </c>
      <c r="E40" s="13" t="str">
        <f t="shared" ca="1" si="1"/>
        <v>continue</v>
      </c>
      <c r="F40">
        <f t="shared" ca="1" si="2"/>
        <v>0</v>
      </c>
    </row>
    <row r="41" spans="1:14">
      <c r="A41" s="3">
        <f t="shared" ca="1" si="4"/>
        <v>35.670423402319635</v>
      </c>
      <c r="B41" s="2">
        <f t="shared" ca="1" si="5"/>
        <v>0.81502114590244734</v>
      </c>
      <c r="C41" s="2">
        <f ca="1">IF(E40="continue",SUM(B$8:B41),"")</f>
        <v>33.12949374825196</v>
      </c>
      <c r="D41" s="1">
        <f t="shared" ca="1" si="3"/>
        <v>39.237465742551599</v>
      </c>
      <c r="E41" s="13" t="str">
        <f t="shared" ca="1" si="1"/>
        <v>continue</v>
      </c>
      <c r="F41">
        <f t="shared" ca="1" si="2"/>
        <v>0</v>
      </c>
    </row>
    <row r="42" spans="1:14">
      <c r="A42" s="3">
        <f t="shared" ca="1" si="4"/>
        <v>36.46288209100085</v>
      </c>
      <c r="B42" s="2">
        <f t="shared" ca="1" si="5"/>
        <v>0.99728843482008456</v>
      </c>
      <c r="C42" s="2">
        <f ca="1">IF(E41="continue",SUM(B$8:B42),"")</f>
        <v>34.126782183072045</v>
      </c>
      <c r="D42" s="1">
        <f t="shared" ca="1" si="3"/>
        <v>40.109170300100935</v>
      </c>
      <c r="E42" s="13" t="str">
        <f t="shared" ca="1" si="1"/>
        <v>continue</v>
      </c>
      <c r="F42">
        <f t="shared" ca="1" si="2"/>
        <v>0</v>
      </c>
    </row>
    <row r="43" spans="1:14">
      <c r="A43" s="3">
        <f t="shared" ca="1" si="4"/>
        <v>39.071731709708089</v>
      </c>
      <c r="B43" s="2">
        <f t="shared" ca="1" si="5"/>
        <v>1.7265378731238086</v>
      </c>
      <c r="C43" s="2">
        <f ca="1">IF(E42="continue",SUM(B$8:B43),"")</f>
        <v>35.853320056195855</v>
      </c>
      <c r="D43" s="1">
        <f t="shared" ca="1" si="3"/>
        <v>42.978904880678904</v>
      </c>
      <c r="E43" s="13" t="str">
        <f t="shared" ca="1" si="1"/>
        <v>continue</v>
      </c>
      <c r="F43">
        <f t="shared" ca="1" si="2"/>
        <v>0</v>
      </c>
    </row>
    <row r="44" spans="1:14">
      <c r="A44" s="3">
        <f t="shared" ca="1" si="4"/>
        <v>39.873822778746096</v>
      </c>
      <c r="B44" s="2">
        <f t="shared" ca="1" si="5"/>
        <v>0.36618464640937065</v>
      </c>
      <c r="C44" s="2">
        <f ca="1">IF(E43="continue",SUM(B$8:B44),"")</f>
        <v>36.219504702605228</v>
      </c>
      <c r="D44" s="1">
        <f t="shared" ca="1" si="3"/>
        <v>43.861205056620712</v>
      </c>
      <c r="E44" s="13" t="str">
        <f t="shared" ca="1" si="1"/>
        <v>continue</v>
      </c>
      <c r="F44">
        <f t="shared" ca="1" si="2"/>
        <v>0</v>
      </c>
    </row>
    <row r="45" spans="1:14">
      <c r="A45" s="3">
        <f t="shared" ca="1" si="4"/>
        <v>40.639232646807876</v>
      </c>
      <c r="B45" s="2">
        <f t="shared" ca="1" si="5"/>
        <v>0.55898452249137609</v>
      </c>
      <c r="C45" s="2">
        <f ca="1">IF(E44="continue",SUM(B$8:B45),"")</f>
        <v>36.778489225096607</v>
      </c>
      <c r="D45" s="1">
        <f t="shared" ca="1" si="3"/>
        <v>44.703155911488665</v>
      </c>
      <c r="E45" s="13" t="str">
        <f t="shared" ca="1" si="1"/>
        <v>continue</v>
      </c>
      <c r="F45">
        <f t="shared" ca="1" si="2"/>
        <v>0</v>
      </c>
    </row>
    <row r="46" spans="1:14">
      <c r="A46" s="3">
        <f t="shared" ca="1" si="4"/>
        <v>43.432822318308119</v>
      </c>
      <c r="B46" s="2">
        <f t="shared" ca="1" si="5"/>
        <v>0.59219188274677836</v>
      </c>
      <c r="C46" s="2">
        <f ca="1">IF(E45="continue",SUM(B$8:B46),"")</f>
        <v>37.370681107843382</v>
      </c>
      <c r="D46" s="1">
        <f t="shared" ca="1" si="3"/>
        <v>47.776104550138932</v>
      </c>
      <c r="E46" s="13" t="str">
        <f t="shared" ca="1" si="1"/>
        <v>continue</v>
      </c>
      <c r="F46">
        <f t="shared" ca="1" si="2"/>
        <v>0</v>
      </c>
    </row>
    <row r="47" spans="1:14">
      <c r="A47" s="3">
        <f t="shared" ca="1" si="4"/>
        <v>43.484070678127701</v>
      </c>
      <c r="B47" s="2">
        <f t="shared" ca="1" si="5"/>
        <v>1.8728940646844481</v>
      </c>
      <c r="C47" s="2">
        <f ca="1">IF(E46="continue",SUM(B$8:B47),"")</f>
        <v>39.243575172527827</v>
      </c>
      <c r="D47" s="1">
        <f t="shared" ca="1" si="3"/>
        <v>47.832477745940473</v>
      </c>
      <c r="E47" s="13" t="str">
        <f t="shared" ca="1" si="1"/>
        <v>continue</v>
      </c>
      <c r="F47">
        <f t="shared" ca="1" si="2"/>
        <v>0</v>
      </c>
    </row>
    <row r="48" spans="1:14">
      <c r="A48" s="3">
        <f t="shared" ca="1" si="4"/>
        <v>44.973260278164688</v>
      </c>
      <c r="B48" s="2">
        <f t="shared" ca="1" si="5"/>
        <v>0.55880445814326285</v>
      </c>
      <c r="C48" s="2">
        <f ca="1">IF(E47="continue",SUM(B$8:B48),"")</f>
        <v>39.802379630671091</v>
      </c>
      <c r="D48" s="1">
        <f t="shared" ca="1" si="3"/>
        <v>49.470586305981158</v>
      </c>
      <c r="E48" s="13" t="str">
        <f t="shared" ca="1" si="1"/>
        <v>continue</v>
      </c>
      <c r="F48">
        <f t="shared" ca="1" si="2"/>
        <v>0</v>
      </c>
    </row>
    <row r="49" spans="1:6">
      <c r="A49" s="3">
        <f t="shared" ca="1" si="4"/>
        <v>46.991095820998233</v>
      </c>
      <c r="B49" s="2">
        <f t="shared" ca="1" si="5"/>
        <v>0.55494179492746099</v>
      </c>
      <c r="C49" s="2">
        <f ca="1">IF(E48="continue",SUM(B$8:B49),"")</f>
        <v>40.357321425598549</v>
      </c>
      <c r="D49" s="1">
        <f t="shared" ca="1" si="3"/>
        <v>51.690205403098062</v>
      </c>
      <c r="E49" s="13" t="str">
        <f t="shared" ca="1" si="1"/>
        <v>continue</v>
      </c>
      <c r="F49">
        <f t="shared" ca="1" si="2"/>
        <v>0</v>
      </c>
    </row>
    <row r="50" spans="1:6">
      <c r="A50" s="3">
        <f t="shared" ca="1" si="4"/>
        <v>48.180729166334558</v>
      </c>
      <c r="B50" s="2">
        <f t="shared" ca="1" si="5"/>
        <v>1.2385840797109886</v>
      </c>
      <c r="C50" s="2">
        <f ca="1">IF(E49="continue",SUM(B$8:B50),"")</f>
        <v>41.595905505309538</v>
      </c>
      <c r="D50" s="1">
        <f t="shared" ca="1" si="3"/>
        <v>52.99880208296802</v>
      </c>
      <c r="E50" s="13" t="str">
        <f t="shared" ca="1" si="1"/>
        <v>continue</v>
      </c>
      <c r="F50">
        <f t="shared" ca="1" si="2"/>
        <v>0</v>
      </c>
    </row>
    <row r="51" spans="1:6">
      <c r="A51" s="3">
        <f t="shared" ca="1" si="4"/>
        <v>48.584375264711717</v>
      </c>
      <c r="B51" s="2">
        <f t="shared" ca="1" si="5"/>
        <v>0.54953748315519191</v>
      </c>
      <c r="C51" s="2">
        <f ca="1">IF(E50="continue",SUM(B$8:B51),"")</f>
        <v>42.14544298846473</v>
      </c>
      <c r="D51" s="1">
        <f t="shared" ca="1" si="3"/>
        <v>53.442812791182895</v>
      </c>
      <c r="E51" s="13" t="str">
        <f t="shared" ca="1" si="1"/>
        <v>continue</v>
      </c>
      <c r="F51">
        <f t="shared" ca="1" si="2"/>
        <v>0</v>
      </c>
    </row>
    <row r="52" spans="1:6">
      <c r="A52" s="3">
        <f t="shared" ca="1" si="4"/>
        <v>48.996958537163053</v>
      </c>
      <c r="B52" s="2">
        <f t="shared" ca="1" si="5"/>
        <v>0.60589945968342085</v>
      </c>
      <c r="C52" s="2">
        <f ca="1">IF(E51="continue",SUM(B$8:B52),"")</f>
        <v>42.751342448148151</v>
      </c>
      <c r="D52" s="1">
        <f t="shared" ca="1" si="3"/>
        <v>53.896654390879362</v>
      </c>
      <c r="E52" s="13" t="str">
        <f t="shared" ca="1" si="1"/>
        <v>continue</v>
      </c>
      <c r="F52">
        <f t="shared" ca="1" si="2"/>
        <v>0</v>
      </c>
    </row>
    <row r="53" spans="1:6">
      <c r="A53" s="3">
        <f t="shared" ca="1" si="4"/>
        <v>49.457156560589993</v>
      </c>
      <c r="B53" s="2">
        <f t="shared" ca="1" si="5"/>
        <v>0.28721465067419338</v>
      </c>
      <c r="C53" s="2">
        <f ca="1">IF(E52="continue",SUM(B$8:B53),"")</f>
        <v>43.038557098822345</v>
      </c>
      <c r="D53" s="1">
        <f t="shared" ca="1" si="3"/>
        <v>54.402872216648994</v>
      </c>
      <c r="E53" s="13" t="str">
        <f t="shared" ca="1" si="1"/>
        <v>continue</v>
      </c>
      <c r="F53">
        <f t="shared" ca="1" si="2"/>
        <v>0</v>
      </c>
    </row>
    <row r="54" spans="1:6">
      <c r="A54" s="3">
        <f t="shared" ca="1" si="4"/>
        <v>50.089107014796831</v>
      </c>
      <c r="B54" s="2">
        <f t="shared" ca="1" si="5"/>
        <v>1.463613574366545</v>
      </c>
      <c r="C54" s="2">
        <f ca="1">IF(E53="continue",SUM(B$8:B54),"")</f>
        <v>44.502170673188893</v>
      </c>
      <c r="D54" s="1">
        <f t="shared" ca="1" si="3"/>
        <v>55.098017716276516</v>
      </c>
      <c r="E54" s="13" t="str">
        <f t="shared" ca="1" si="1"/>
        <v>continue</v>
      </c>
      <c r="F54">
        <f t="shared" ca="1" si="2"/>
        <v>0</v>
      </c>
    </row>
    <row r="55" spans="1:6">
      <c r="A55" s="3">
        <f t="shared" ca="1" si="4"/>
        <v>53.120396241496081</v>
      </c>
      <c r="B55" s="2">
        <f t="shared" ca="1" si="5"/>
        <v>0.51266403143964268</v>
      </c>
      <c r="C55" s="2">
        <f ca="1">IF(E54="continue",SUM(B$8:B55),"")</f>
        <v>45.014834704628534</v>
      </c>
      <c r="D55" s="1">
        <f t="shared" ca="1" si="3"/>
        <v>58.432435865645694</v>
      </c>
      <c r="E55" s="13" t="str">
        <f t="shared" ca="1" si="1"/>
        <v>continue</v>
      </c>
      <c r="F55">
        <f t="shared" ca="1" si="2"/>
        <v>0</v>
      </c>
    </row>
    <row r="56" spans="1:6">
      <c r="A56" s="3">
        <f t="shared" ca="1" si="4"/>
        <v>53.680714820014963</v>
      </c>
      <c r="B56" s="2">
        <f t="shared" ca="1" si="5"/>
        <v>1.5794683447160323</v>
      </c>
      <c r="C56" s="2">
        <f ca="1">IF(E55="continue",SUM(B$8:B56),"")</f>
        <v>46.594303049344568</v>
      </c>
      <c r="D56" s="1">
        <f t="shared" ca="1" si="3"/>
        <v>59.048786302016467</v>
      </c>
      <c r="E56" s="13" t="str">
        <f t="shared" ca="1" si="1"/>
        <v>continue</v>
      </c>
      <c r="F56">
        <f t="shared" ca="1" si="2"/>
        <v>0</v>
      </c>
    </row>
    <row r="57" spans="1:6">
      <c r="A57" s="3">
        <f t="shared" ca="1" si="4"/>
        <v>54.634683177382499</v>
      </c>
      <c r="B57" s="2">
        <f t="shared" ca="1" si="5"/>
        <v>0.94478993459839533</v>
      </c>
      <c r="C57" s="2">
        <f ca="1">IF(E56="continue",SUM(B$8:B57),"")</f>
        <v>47.539092983942965</v>
      </c>
      <c r="D57" s="1">
        <f t="shared" ca="1" si="3"/>
        <v>60.098151495120753</v>
      </c>
      <c r="E57" s="13" t="str">
        <f t="shared" ca="1" si="1"/>
        <v>continue</v>
      </c>
      <c r="F57">
        <f t="shared" ca="1" si="2"/>
        <v>0</v>
      </c>
    </row>
    <row r="58" spans="1:6">
      <c r="A58" s="3">
        <f t="shared" ca="1" si="4"/>
        <v>56.028735912457947</v>
      </c>
      <c r="B58" s="2">
        <f t="shared" ca="1" si="5"/>
        <v>0.98131684154863152</v>
      </c>
      <c r="C58" s="2">
        <f ca="1">IF(E57="continue",SUM(B$8:B58),"")</f>
        <v>48.520409825491598</v>
      </c>
      <c r="D58" s="1">
        <f t="shared" ca="1" si="3"/>
        <v>61.63160950370375</v>
      </c>
      <c r="E58" s="13" t="str">
        <f t="shared" ca="1" si="1"/>
        <v>continue</v>
      </c>
      <c r="F58">
        <f t="shared" ca="1" si="2"/>
        <v>0</v>
      </c>
    </row>
    <row r="59" spans="1:6">
      <c r="A59" s="3">
        <f t="shared" ca="1" si="4"/>
        <v>56.419323073084946</v>
      </c>
      <c r="B59" s="2">
        <f t="shared" ca="1" si="5"/>
        <v>1.3972992821980974</v>
      </c>
      <c r="C59" s="2">
        <f ca="1">IF(E58="continue",SUM(B$8:B59),"")</f>
        <v>49.917709107689696</v>
      </c>
      <c r="D59" s="1">
        <f t="shared" ca="1" si="3"/>
        <v>62.061255380393447</v>
      </c>
      <c r="E59" s="13" t="str">
        <f t="shared" ca="1" si="1"/>
        <v>continue</v>
      </c>
      <c r="F59">
        <f t="shared" ca="1" si="2"/>
        <v>0</v>
      </c>
    </row>
    <row r="60" spans="1:6">
      <c r="A60" s="3">
        <f t="shared" ca="1" si="4"/>
        <v>56.489576483446832</v>
      </c>
      <c r="B60" s="2">
        <f t="shared" ca="1" si="5"/>
        <v>1.0092967576325456</v>
      </c>
      <c r="C60" s="2">
        <f ca="1">IF(E59="continue",SUM(B$8:B60),"")</f>
        <v>50.927005865322243</v>
      </c>
      <c r="D60" s="1">
        <f t="shared" ca="1" si="3"/>
        <v>62.138534131791523</v>
      </c>
      <c r="E60" s="13" t="str">
        <f t="shared" ca="1" si="1"/>
        <v>continue</v>
      </c>
      <c r="F60">
        <f t="shared" ca="1" si="2"/>
        <v>0</v>
      </c>
    </row>
    <row r="61" spans="1:6">
      <c r="A61" s="3">
        <f t="shared" ca="1" si="4"/>
        <v>57.212170250418438</v>
      </c>
      <c r="B61" s="2">
        <f t="shared" ca="1" si="5"/>
        <v>1.830303807899508</v>
      </c>
      <c r="C61" s="2">
        <f ca="1">IF(E60="continue",SUM(B$8:B61),"")</f>
        <v>52.757309673221755</v>
      </c>
      <c r="D61" s="1">
        <f t="shared" ca="1" si="3"/>
        <v>62.933387275460291</v>
      </c>
      <c r="E61" s="13" t="str">
        <f t="shared" ca="1" si="1"/>
        <v>continue</v>
      </c>
      <c r="F61">
        <f t="shared" ca="1" si="2"/>
        <v>0</v>
      </c>
    </row>
    <row r="62" spans="1:6">
      <c r="A62" s="3">
        <f t="shared" ca="1" si="4"/>
        <v>57.944433516282466</v>
      </c>
      <c r="B62" s="2">
        <f t="shared" ca="1" si="5"/>
        <v>0.87930087409162316</v>
      </c>
      <c r="C62" s="2">
        <f ca="1">IF(E61="continue",SUM(B$8:B62),"")</f>
        <v>53.636610547313381</v>
      </c>
      <c r="D62" s="1">
        <f t="shared" ca="1" si="3"/>
        <v>63.738876867910719</v>
      </c>
      <c r="E62" s="13" t="str">
        <f t="shared" ca="1" si="1"/>
        <v>continue</v>
      </c>
      <c r="F62">
        <f t="shared" ca="1" si="2"/>
        <v>0</v>
      </c>
    </row>
    <row r="63" spans="1:6">
      <c r="A63" s="3">
        <f t="shared" ca="1" si="4"/>
        <v>58.592399951340148</v>
      </c>
      <c r="B63" s="2">
        <f t="shared" ca="1" si="5"/>
        <v>5.8308800478410561</v>
      </c>
      <c r="C63" s="2">
        <f ca="1">IF(E62="continue",SUM(B$8:B63),"")</f>
        <v>59.467490595154437</v>
      </c>
      <c r="D63" s="1">
        <f t="shared" ca="1" si="3"/>
        <v>64.451639946474174</v>
      </c>
      <c r="E63" s="13" t="str">
        <f t="shared" ca="1" si="1"/>
        <v>continue</v>
      </c>
      <c r="F63">
        <f t="shared" ca="1" si="2"/>
        <v>0</v>
      </c>
    </row>
    <row r="64" spans="1:6">
      <c r="A64" s="3">
        <f t="shared" ca="1" si="4"/>
        <v>59.096364678965912</v>
      </c>
      <c r="B64" s="2">
        <f t="shared" ca="1" si="5"/>
        <v>1.9378053916401556</v>
      </c>
      <c r="C64" s="2">
        <f ca="1">IF(E63="continue",SUM(B$8:B64),"")</f>
        <v>61.405295986794592</v>
      </c>
      <c r="D64" s="1">
        <f t="shared" ca="1" si="3"/>
        <v>65.006001146862502</v>
      </c>
      <c r="E64" s="13" t="str">
        <f t="shared" ca="1" si="1"/>
        <v>continue</v>
      </c>
      <c r="F64">
        <f t="shared" ca="1" si="2"/>
        <v>0</v>
      </c>
    </row>
    <row r="65" spans="1:6">
      <c r="A65" s="3">
        <f t="shared" ca="1" si="4"/>
        <v>60.567841571076357</v>
      </c>
      <c r="B65" s="2">
        <f t="shared" ca="1" si="5"/>
        <v>2.0405328116564769</v>
      </c>
      <c r="C65" s="2">
        <f ca="1">IF(E64="continue",SUM(B$8:B65),"")</f>
        <v>63.445828798451068</v>
      </c>
      <c r="D65" s="1">
        <f t="shared" ca="1" si="3"/>
        <v>66.624625728184</v>
      </c>
      <c r="E65" s="13" t="str">
        <f t="shared" ca="1" si="1"/>
        <v>continue</v>
      </c>
      <c r="F65">
        <f t="shared" ca="1" si="2"/>
        <v>0</v>
      </c>
    </row>
    <row r="66" spans="1:6">
      <c r="A66" s="3">
        <f t="shared" ca="1" si="4"/>
        <v>61.225501852659647</v>
      </c>
      <c r="B66" s="2">
        <f t="shared" ca="1" si="5"/>
        <v>1.8655123928431847</v>
      </c>
      <c r="C66" s="2">
        <f ca="1">IF(E65="continue",SUM(B$8:B66),"")</f>
        <v>65.311341191294247</v>
      </c>
      <c r="D66" s="1">
        <f t="shared" ca="1" si="3"/>
        <v>67.348052037925612</v>
      </c>
      <c r="E66" s="13" t="str">
        <f t="shared" ca="1" si="1"/>
        <v>continue</v>
      </c>
      <c r="F66">
        <f t="shared" ca="1" si="2"/>
        <v>0</v>
      </c>
    </row>
    <row r="67" spans="1:6">
      <c r="A67" s="3">
        <f t="shared" ca="1" si="4"/>
        <v>62.19297606220055</v>
      </c>
      <c r="B67" s="2">
        <f t="shared" ca="1" si="5"/>
        <v>0.14530349649407917</v>
      </c>
      <c r="C67" s="2">
        <f ca="1">IF(E66="continue",SUM(B$8:B67),"")</f>
        <v>65.456644687788327</v>
      </c>
      <c r="D67" s="1">
        <f t="shared" ca="1" si="3"/>
        <v>68.41227366842061</v>
      </c>
      <c r="E67" s="13" t="str">
        <f t="shared" ca="1" si="1"/>
        <v>continue</v>
      </c>
      <c r="F67">
        <f t="shared" ca="1" si="2"/>
        <v>0</v>
      </c>
    </row>
    <row r="68" spans="1:6">
      <c r="A68" s="3">
        <f t="shared" ca="1" si="4"/>
        <v>62.607978023597511</v>
      </c>
      <c r="B68" s="2">
        <f t="shared" ca="1" si="5"/>
        <v>1.2086379410970363</v>
      </c>
      <c r="C68" s="2">
        <f ca="1">IF(E67="continue",SUM(B$8:B68),"")</f>
        <v>66.665282628885365</v>
      </c>
      <c r="D68" s="1">
        <f t="shared" ca="1" si="3"/>
        <v>68.868775825957272</v>
      </c>
      <c r="E68" s="13" t="str">
        <f t="shared" ca="1" si="1"/>
        <v>continue</v>
      </c>
      <c r="F68">
        <f t="shared" ca="1" si="2"/>
        <v>0</v>
      </c>
    </row>
    <row r="69" spans="1:6">
      <c r="A69" s="3">
        <f t="shared" ca="1" si="4"/>
        <v>63.998435319521036</v>
      </c>
      <c r="B69" s="2">
        <f t="shared" ca="1" si="5"/>
        <v>0.9821924016500182</v>
      </c>
      <c r="C69" s="2">
        <f ca="1">IF(E68="continue",SUM(B$8:B69),"")</f>
        <v>67.647475030535389</v>
      </c>
      <c r="D69" s="1">
        <f t="shared" ca="1" si="3"/>
        <v>70.398278851473151</v>
      </c>
      <c r="E69" s="13" t="str">
        <f t="shared" ca="1" si="1"/>
        <v>continue</v>
      </c>
      <c r="F69">
        <f t="shared" ca="1" si="2"/>
        <v>0</v>
      </c>
    </row>
    <row r="70" spans="1:6">
      <c r="A70" s="3">
        <f t="shared" ca="1" si="4"/>
        <v>69.268094274599036</v>
      </c>
      <c r="B70" s="2">
        <f t="shared" ca="1" si="5"/>
        <v>1.2199378445865789</v>
      </c>
      <c r="C70" s="2">
        <f ca="1">IF(E69="continue",SUM(B$8:B70),"")</f>
        <v>68.867412875121971</v>
      </c>
      <c r="D70" s="1">
        <f t="shared" ca="1" si="3"/>
        <v>76.194903702058951</v>
      </c>
      <c r="E70" s="13" t="str">
        <f t="shared" ca="1" si="1"/>
        <v>continue</v>
      </c>
      <c r="F70">
        <f t="shared" ca="1" si="2"/>
        <v>0</v>
      </c>
    </row>
    <row r="71" spans="1:6">
      <c r="A71" s="3">
        <f t="shared" ca="1" si="4"/>
        <v>69.363930464829792</v>
      </c>
      <c r="B71" s="2">
        <f t="shared" ca="1" si="5"/>
        <v>0.37784984403462069</v>
      </c>
      <c r="C71" s="2">
        <f ca="1">IF(E70="continue",SUM(B$8:B71),"")</f>
        <v>69.245262719156585</v>
      </c>
      <c r="D71" s="1">
        <f t="shared" ca="1" si="3"/>
        <v>76.300323511312783</v>
      </c>
      <c r="E71" s="13" t="str">
        <f t="shared" ca="1" si="1"/>
        <v>continue</v>
      </c>
      <c r="F71">
        <f t="shared" ca="1" si="2"/>
        <v>0</v>
      </c>
    </row>
    <row r="72" spans="1:6">
      <c r="A72" s="3">
        <f t="shared" ca="1" si="4"/>
        <v>70.357463392710159</v>
      </c>
      <c r="B72" s="2">
        <f t="shared" ca="1" si="5"/>
        <v>0.56708919724966989</v>
      </c>
      <c r="C72" s="2">
        <f ca="1">IF(E71="continue",SUM(B$8:B72),"")</f>
        <v>69.812351916406257</v>
      </c>
      <c r="D72" s="1">
        <f t="shared" ca="1" si="3"/>
        <v>77.393209731981187</v>
      </c>
      <c r="E72" s="13" t="str">
        <f t="shared" ca="1" si="1"/>
        <v>continue</v>
      </c>
      <c r="F72">
        <f t="shared" ca="1" si="2"/>
        <v>0</v>
      </c>
    </row>
    <row r="73" spans="1:6">
      <c r="A73" s="3">
        <f t="shared" ca="1" si="4"/>
        <v>71.367571911496782</v>
      </c>
      <c r="B73" s="2">
        <f t="shared" ca="1" si="5"/>
        <v>3.1004711379397483E-2</v>
      </c>
      <c r="C73" s="2">
        <f ca="1">IF(E72="continue",SUM(B$8:B73),"")</f>
        <v>69.843356627785653</v>
      </c>
      <c r="D73" s="1">
        <f t="shared" ca="1" si="3"/>
        <v>78.504329102646466</v>
      </c>
      <c r="E73" s="13" t="str">
        <f t="shared" ca="1" si="1"/>
        <v>continue</v>
      </c>
      <c r="F73">
        <f t="shared" ca="1" si="2"/>
        <v>0</v>
      </c>
    </row>
    <row r="74" spans="1:6">
      <c r="A74" s="3">
        <f t="shared" ca="1" si="4"/>
        <v>71.544755831100744</v>
      </c>
      <c r="B74" s="2">
        <f t="shared" ca="1" si="5"/>
        <v>0.1822345114715154</v>
      </c>
      <c r="C74" s="2">
        <f ca="1">IF(E73="continue",SUM(B$8:B74),"")</f>
        <v>70.025591139257173</v>
      </c>
      <c r="D74" s="1">
        <f t="shared" ca="1" si="3"/>
        <v>78.699231414210828</v>
      </c>
      <c r="E74" s="13" t="str">
        <f t="shared" ref="E74:E137" ca="1" si="6">IF(A74&gt;G$1,"No ruin",IF(AND(A74&lt;=G$1,C74&gt;J$4+D74),"RUIN","continue"))</f>
        <v>continue</v>
      </c>
      <c r="F74">
        <f t="shared" ref="F74:F137" ca="1" si="7">IF(E74="RUIN",1,0)</f>
        <v>0</v>
      </c>
    </row>
    <row r="75" spans="1:6">
      <c r="A75" s="3">
        <f t="shared" ca="1" si="4"/>
        <v>72.030059143618899</v>
      </c>
      <c r="B75" s="2">
        <f t="shared" ca="1" si="5"/>
        <v>0.18866579413211207</v>
      </c>
      <c r="C75" s="2">
        <f ca="1">IF(E74="continue",SUM(B$8:B75),"")</f>
        <v>70.214256933389279</v>
      </c>
      <c r="D75" s="1">
        <f t="shared" ref="D75:D138" ca="1" si="8">IF(E74="continue",(1+J$1)*(1/O$3)*M$3*A75,"")</f>
        <v>79.233065057980795</v>
      </c>
      <c r="E75" s="13" t="str">
        <f t="shared" ca="1" si="6"/>
        <v>continue</v>
      </c>
      <c r="F75">
        <f t="shared" ca="1" si="7"/>
        <v>0</v>
      </c>
    </row>
    <row r="76" spans="1:6">
      <c r="A76" s="3">
        <f t="shared" ref="A76:A139" ca="1" si="9">IF(E75="continue",-LN(1-RAND())*O$3+A75,"")</f>
        <v>72.682930051067814</v>
      </c>
      <c r="B76" s="2">
        <f t="shared" ref="B76:B139" ca="1" si="10">IF(E75="continue",-LN(1-RAND())*M$3,"")</f>
        <v>0.4965974968660401</v>
      </c>
      <c r="C76" s="2">
        <f ca="1">IF(E75="continue",SUM(B$8:B76),"")</f>
        <v>70.710854430255324</v>
      </c>
      <c r="D76" s="1">
        <f t="shared" ca="1" si="8"/>
        <v>79.951223056174598</v>
      </c>
      <c r="E76" s="13" t="str">
        <f t="shared" ca="1" si="6"/>
        <v>continue</v>
      </c>
      <c r="F76">
        <f t="shared" ca="1" si="7"/>
        <v>0</v>
      </c>
    </row>
    <row r="77" spans="1:6">
      <c r="A77" s="3">
        <f t="shared" ca="1" si="9"/>
        <v>74.648544677285471</v>
      </c>
      <c r="B77" s="2">
        <f t="shared" ca="1" si="10"/>
        <v>0.63901681790457443</v>
      </c>
      <c r="C77" s="2">
        <f ca="1">IF(E76="continue",SUM(B$8:B77),"")</f>
        <v>71.3498712481599</v>
      </c>
      <c r="D77" s="1">
        <f t="shared" ca="1" si="8"/>
        <v>82.113399145014029</v>
      </c>
      <c r="E77" s="13" t="str">
        <f t="shared" ca="1" si="6"/>
        <v>continue</v>
      </c>
      <c r="F77">
        <f t="shared" ca="1" si="7"/>
        <v>0</v>
      </c>
    </row>
    <row r="78" spans="1:6">
      <c r="A78" s="3">
        <f t="shared" ca="1" si="9"/>
        <v>74.655206422513388</v>
      </c>
      <c r="B78" s="2">
        <f t="shared" ca="1" si="10"/>
        <v>0.85504803128345563</v>
      </c>
      <c r="C78" s="2">
        <f ca="1">IF(E77="continue",SUM(B$8:B78),"")</f>
        <v>72.204919279443359</v>
      </c>
      <c r="D78" s="1">
        <f t="shared" ca="1" si="8"/>
        <v>82.120727064764736</v>
      </c>
      <c r="E78" s="13" t="str">
        <f t="shared" ca="1" si="6"/>
        <v>continue</v>
      </c>
      <c r="F78">
        <f t="shared" ca="1" si="7"/>
        <v>0</v>
      </c>
    </row>
    <row r="79" spans="1:6">
      <c r="A79" s="3">
        <f t="shared" ca="1" si="9"/>
        <v>75.010215422478566</v>
      </c>
      <c r="B79" s="2">
        <f t="shared" ca="1" si="10"/>
        <v>0.76235964600046247</v>
      </c>
      <c r="C79" s="2">
        <f ca="1">IF(E78="continue",SUM(B$8:B79),"")</f>
        <v>72.967278925443821</v>
      </c>
      <c r="D79" s="1">
        <f t="shared" ca="1" si="8"/>
        <v>82.511236964726436</v>
      </c>
      <c r="E79" s="13" t="str">
        <f t="shared" ca="1" si="6"/>
        <v>continue</v>
      </c>
      <c r="F79">
        <f t="shared" ca="1" si="7"/>
        <v>0</v>
      </c>
    </row>
    <row r="80" spans="1:6">
      <c r="A80" s="3">
        <f t="shared" ca="1" si="9"/>
        <v>75.31632605577046</v>
      </c>
      <c r="B80" s="2">
        <f t="shared" ca="1" si="10"/>
        <v>0.65699867107484389</v>
      </c>
      <c r="C80" s="2">
        <f ca="1">IF(E79="continue",SUM(B$8:B80),"")</f>
        <v>73.624277596518667</v>
      </c>
      <c r="D80" s="1">
        <f t="shared" ca="1" si="8"/>
        <v>82.847958661347519</v>
      </c>
      <c r="E80" s="13" t="str">
        <f t="shared" ca="1" si="6"/>
        <v>continue</v>
      </c>
      <c r="F80">
        <f t="shared" ca="1" si="7"/>
        <v>0</v>
      </c>
    </row>
    <row r="81" spans="1:6">
      <c r="A81" s="3">
        <f t="shared" ca="1" si="9"/>
        <v>75.421292672300865</v>
      </c>
      <c r="B81" s="2">
        <f t="shared" ca="1" si="10"/>
        <v>0.29025254780042814</v>
      </c>
      <c r="C81" s="2">
        <f ca="1">IF(E80="continue",SUM(B$8:B81),"")</f>
        <v>73.914530144319102</v>
      </c>
      <c r="D81" s="1">
        <f t="shared" ca="1" si="8"/>
        <v>82.96342193953096</v>
      </c>
      <c r="E81" s="13" t="str">
        <f t="shared" ca="1" si="6"/>
        <v>continue</v>
      </c>
      <c r="F81">
        <f t="shared" ca="1" si="7"/>
        <v>0</v>
      </c>
    </row>
    <row r="82" spans="1:6">
      <c r="A82" s="3">
        <f t="shared" ca="1" si="9"/>
        <v>76.325283209664562</v>
      </c>
      <c r="B82" s="2">
        <f t="shared" ca="1" si="10"/>
        <v>3.327754995107794</v>
      </c>
      <c r="C82" s="2">
        <f ca="1">IF(E81="continue",SUM(B$8:B82),"")</f>
        <v>77.242285139426897</v>
      </c>
      <c r="D82" s="1">
        <f t="shared" ca="1" si="8"/>
        <v>83.95781153063102</v>
      </c>
      <c r="E82" s="13" t="str">
        <f t="shared" ca="1" si="6"/>
        <v>continue</v>
      </c>
      <c r="F82">
        <f t="shared" ca="1" si="7"/>
        <v>0</v>
      </c>
    </row>
    <row r="83" spans="1:6">
      <c r="A83" s="3">
        <f t="shared" ca="1" si="9"/>
        <v>79.131942388625205</v>
      </c>
      <c r="B83" s="2">
        <f t="shared" ca="1" si="10"/>
        <v>0.50973265578133697</v>
      </c>
      <c r="C83" s="2">
        <f ca="1">IF(E82="continue",SUM(B$8:B83),"")</f>
        <v>77.752017795208232</v>
      </c>
      <c r="D83" s="1">
        <f t="shared" ca="1" si="8"/>
        <v>87.045136627487736</v>
      </c>
      <c r="E83" s="13" t="str">
        <f t="shared" ca="1" si="6"/>
        <v>continue</v>
      </c>
      <c r="F83">
        <f t="shared" ca="1" si="7"/>
        <v>0</v>
      </c>
    </row>
    <row r="84" spans="1:6">
      <c r="A84" s="3">
        <f t="shared" ca="1" si="9"/>
        <v>81.216073971399965</v>
      </c>
      <c r="B84" s="2">
        <f t="shared" ca="1" si="10"/>
        <v>0.2578631514255621</v>
      </c>
      <c r="C84" s="2">
        <f ca="1">IF(E83="continue",SUM(B$8:B84),"")</f>
        <v>78.0098809466338</v>
      </c>
      <c r="D84" s="1">
        <f t="shared" ca="1" si="8"/>
        <v>89.337681368539975</v>
      </c>
      <c r="E84" s="13" t="str">
        <f t="shared" ca="1" si="6"/>
        <v>continue</v>
      </c>
      <c r="F84">
        <f t="shared" ca="1" si="7"/>
        <v>0</v>
      </c>
    </row>
    <row r="85" spans="1:6">
      <c r="A85" s="3">
        <f t="shared" ca="1" si="9"/>
        <v>81.428786273699245</v>
      </c>
      <c r="B85" s="2">
        <f t="shared" ca="1" si="10"/>
        <v>0.5743052174883414</v>
      </c>
      <c r="C85" s="2">
        <f ca="1">IF(E84="continue",SUM(B$8:B85),"")</f>
        <v>78.584186164122144</v>
      </c>
      <c r="D85" s="1">
        <f t="shared" ca="1" si="8"/>
        <v>89.571664901069184</v>
      </c>
      <c r="E85" s="13" t="str">
        <f t="shared" ca="1" si="6"/>
        <v>continue</v>
      </c>
      <c r="F85">
        <f t="shared" ca="1" si="7"/>
        <v>0</v>
      </c>
    </row>
    <row r="86" spans="1:6">
      <c r="A86" s="3">
        <f t="shared" ca="1" si="9"/>
        <v>84.533170814869891</v>
      </c>
      <c r="B86" s="2">
        <f t="shared" ca="1" si="10"/>
        <v>0.14155946403444103</v>
      </c>
      <c r="C86" s="2">
        <f ca="1">IF(E85="continue",SUM(B$8:B86),"")</f>
        <v>78.725745628156588</v>
      </c>
      <c r="D86" s="1">
        <f t="shared" ca="1" si="8"/>
        <v>92.986487896356891</v>
      </c>
      <c r="E86" s="13" t="str">
        <f t="shared" ca="1" si="6"/>
        <v>continue</v>
      </c>
      <c r="F86">
        <f t="shared" ca="1" si="7"/>
        <v>0</v>
      </c>
    </row>
    <row r="87" spans="1:6">
      <c r="A87" s="3">
        <f t="shared" ca="1" si="9"/>
        <v>84.954649853308922</v>
      </c>
      <c r="B87" s="2">
        <f t="shared" ca="1" si="10"/>
        <v>0.15585905963417324</v>
      </c>
      <c r="C87" s="2">
        <f ca="1">IF(E86="continue",SUM(B$8:B87),"")</f>
        <v>78.881604687790755</v>
      </c>
      <c r="D87" s="1">
        <f t="shared" ca="1" si="8"/>
        <v>93.45011483863982</v>
      </c>
      <c r="E87" s="13" t="str">
        <f t="shared" ca="1" si="6"/>
        <v>continue</v>
      </c>
      <c r="F87">
        <f t="shared" ca="1" si="7"/>
        <v>0</v>
      </c>
    </row>
    <row r="88" spans="1:6">
      <c r="A88" s="3">
        <f t="shared" ca="1" si="9"/>
        <v>87.78915213277881</v>
      </c>
      <c r="B88" s="2">
        <f t="shared" ca="1" si="10"/>
        <v>0.37065051262857063</v>
      </c>
      <c r="C88" s="2">
        <f ca="1">IF(E87="continue",SUM(B$8:B88),"")</f>
        <v>79.252255200419327</v>
      </c>
      <c r="D88" s="1">
        <f t="shared" ca="1" si="8"/>
        <v>96.568067346056694</v>
      </c>
      <c r="E88" s="13" t="str">
        <f t="shared" ca="1" si="6"/>
        <v>continue</v>
      </c>
      <c r="F88">
        <f t="shared" ca="1" si="7"/>
        <v>0</v>
      </c>
    </row>
    <row r="89" spans="1:6">
      <c r="A89" s="3">
        <f t="shared" ca="1" si="9"/>
        <v>88.446966457747493</v>
      </c>
      <c r="B89" s="2">
        <f t="shared" ca="1" si="10"/>
        <v>0.18115413965813804</v>
      </c>
      <c r="C89" s="2">
        <f ca="1">IF(E88="continue",SUM(B$8:B89),"")</f>
        <v>79.433409340077461</v>
      </c>
      <c r="D89" s="1">
        <f t="shared" ca="1" si="8"/>
        <v>97.291663103522254</v>
      </c>
      <c r="E89" s="13" t="str">
        <f t="shared" ca="1" si="6"/>
        <v>continue</v>
      </c>
      <c r="F89">
        <f t="shared" ca="1" si="7"/>
        <v>0</v>
      </c>
    </row>
    <row r="90" spans="1:6">
      <c r="A90" s="3">
        <f t="shared" ca="1" si="9"/>
        <v>89.131195426429642</v>
      </c>
      <c r="B90" s="2">
        <f t="shared" ca="1" si="10"/>
        <v>0.66926729554930897</v>
      </c>
      <c r="C90" s="2">
        <f ca="1">IF(E89="continue",SUM(B$8:B90),"")</f>
        <v>80.102676635626764</v>
      </c>
      <c r="D90" s="1">
        <f t="shared" ca="1" si="8"/>
        <v>98.044314969072616</v>
      </c>
      <c r="E90" s="13" t="str">
        <f t="shared" ca="1" si="6"/>
        <v>continue</v>
      </c>
      <c r="F90">
        <f t="shared" ca="1" si="7"/>
        <v>0</v>
      </c>
    </row>
    <row r="91" spans="1:6">
      <c r="A91" s="3">
        <f t="shared" ca="1" si="9"/>
        <v>92.984699817117388</v>
      </c>
      <c r="B91" s="2">
        <f t="shared" ca="1" si="10"/>
        <v>1.0259815154469158</v>
      </c>
      <c r="C91" s="2">
        <f ca="1">IF(E90="continue",SUM(B$8:B91),"")</f>
        <v>81.12865815107368</v>
      </c>
      <c r="D91" s="1">
        <f t="shared" ca="1" si="8"/>
        <v>102.28316979882914</v>
      </c>
      <c r="E91" s="13" t="str">
        <f t="shared" ca="1" si="6"/>
        <v>continue</v>
      </c>
      <c r="F91">
        <f t="shared" ca="1" si="7"/>
        <v>0</v>
      </c>
    </row>
    <row r="92" spans="1:6">
      <c r="A92" s="3">
        <f t="shared" ca="1" si="9"/>
        <v>93.259399481335507</v>
      </c>
      <c r="B92" s="2">
        <f t="shared" ca="1" si="10"/>
        <v>4.1633476704416514</v>
      </c>
      <c r="C92" s="2">
        <f ca="1">IF(E91="continue",SUM(B$8:B92),"")</f>
        <v>85.292005821515332</v>
      </c>
      <c r="D92" s="1">
        <f t="shared" ca="1" si="8"/>
        <v>102.58533942946906</v>
      </c>
      <c r="E92" s="13" t="str">
        <f t="shared" ca="1" si="6"/>
        <v>continue</v>
      </c>
      <c r="F92">
        <f t="shared" ca="1" si="7"/>
        <v>0</v>
      </c>
    </row>
    <row r="93" spans="1:6">
      <c r="A93" s="3">
        <f t="shared" ca="1" si="9"/>
        <v>93.791356762676202</v>
      </c>
      <c r="B93" s="2">
        <f t="shared" ca="1" si="10"/>
        <v>7.6387927370125508E-2</v>
      </c>
      <c r="C93" s="2">
        <f ca="1">IF(E92="continue",SUM(B$8:B93),"")</f>
        <v>85.368393748885453</v>
      </c>
      <c r="D93" s="1">
        <f t="shared" ca="1" si="8"/>
        <v>103.17049243894382</v>
      </c>
      <c r="E93" s="13" t="str">
        <f t="shared" ca="1" si="6"/>
        <v>continue</v>
      </c>
      <c r="F93">
        <f t="shared" ca="1" si="7"/>
        <v>0</v>
      </c>
    </row>
    <row r="94" spans="1:6">
      <c r="A94" s="3">
        <f t="shared" ca="1" si="9"/>
        <v>93.800001141001843</v>
      </c>
      <c r="B94" s="2">
        <f t="shared" ca="1" si="10"/>
        <v>0.13001208201580391</v>
      </c>
      <c r="C94" s="2">
        <f ca="1">IF(E93="continue",SUM(B$8:B94),"")</f>
        <v>85.498405830901262</v>
      </c>
      <c r="D94" s="1">
        <f t="shared" ca="1" si="8"/>
        <v>103.18000125510204</v>
      </c>
      <c r="E94" s="13" t="str">
        <f t="shared" ca="1" si="6"/>
        <v>continue</v>
      </c>
      <c r="F94">
        <f t="shared" ca="1" si="7"/>
        <v>0</v>
      </c>
    </row>
    <row r="95" spans="1:6">
      <c r="A95" s="3">
        <f t="shared" ca="1" si="9"/>
        <v>94.178052246322252</v>
      </c>
      <c r="B95" s="2">
        <f t="shared" ca="1" si="10"/>
        <v>0.70480962146580617</v>
      </c>
      <c r="C95" s="2">
        <f ca="1">IF(E94="continue",SUM(B$8:B95),"")</f>
        <v>86.203215452367075</v>
      </c>
      <c r="D95" s="1">
        <f t="shared" ca="1" si="8"/>
        <v>103.59585747095448</v>
      </c>
      <c r="E95" s="13" t="str">
        <f t="shared" ca="1" si="6"/>
        <v>continue</v>
      </c>
      <c r="F95">
        <f t="shared" ca="1" si="7"/>
        <v>0</v>
      </c>
    </row>
    <row r="96" spans="1:6">
      <c r="A96" s="3">
        <f t="shared" ca="1" si="9"/>
        <v>96.76305266253793</v>
      </c>
      <c r="B96" s="2">
        <f t="shared" ca="1" si="10"/>
        <v>2.0186082080466843</v>
      </c>
      <c r="C96" s="2">
        <f ca="1">IF(E95="continue",SUM(B$8:B96),"")</f>
        <v>88.221823660413762</v>
      </c>
      <c r="D96" s="1">
        <f t="shared" ca="1" si="8"/>
        <v>106.43935792879174</v>
      </c>
      <c r="E96" s="13" t="str">
        <f t="shared" ca="1" si="6"/>
        <v>continue</v>
      </c>
      <c r="F96">
        <f t="shared" ca="1" si="7"/>
        <v>0</v>
      </c>
    </row>
    <row r="97" spans="1:6">
      <c r="A97" s="3">
        <f t="shared" ca="1" si="9"/>
        <v>97.076870561087986</v>
      </c>
      <c r="B97" s="2">
        <f t="shared" ca="1" si="10"/>
        <v>0.39949273905089283</v>
      </c>
      <c r="C97" s="2">
        <f ca="1">IF(E96="continue",SUM(B$8:B97),"")</f>
        <v>88.621316399464661</v>
      </c>
      <c r="D97" s="1">
        <f t="shared" ca="1" si="8"/>
        <v>106.7845576171968</v>
      </c>
      <c r="E97" s="13" t="str">
        <f t="shared" ca="1" si="6"/>
        <v>continue</v>
      </c>
      <c r="F97">
        <f t="shared" ca="1" si="7"/>
        <v>0</v>
      </c>
    </row>
    <row r="98" spans="1:6">
      <c r="A98" s="3">
        <f t="shared" ca="1" si="9"/>
        <v>98.163319817840616</v>
      </c>
      <c r="B98" s="2">
        <f t="shared" ca="1" si="10"/>
        <v>3.444207896455985E-2</v>
      </c>
      <c r="C98" s="2">
        <f ca="1">IF(E97="continue",SUM(B$8:B98),"")</f>
        <v>88.65575847842922</v>
      </c>
      <c r="D98" s="1">
        <f t="shared" ca="1" si="8"/>
        <v>107.97965179962469</v>
      </c>
      <c r="E98" s="13" t="str">
        <f t="shared" ca="1" si="6"/>
        <v>continue</v>
      </c>
      <c r="F98">
        <f t="shared" ca="1" si="7"/>
        <v>0</v>
      </c>
    </row>
    <row r="99" spans="1:6">
      <c r="A99" s="3">
        <f t="shared" ca="1" si="9"/>
        <v>99.512756534561817</v>
      </c>
      <c r="B99" s="2">
        <f t="shared" ca="1" si="10"/>
        <v>0.41723107081354516</v>
      </c>
      <c r="C99" s="2">
        <f ca="1">IF(E98="continue",SUM(B$8:B99),"")</f>
        <v>89.072989549242763</v>
      </c>
      <c r="D99" s="1">
        <f t="shared" ca="1" si="8"/>
        <v>109.46403218801801</v>
      </c>
      <c r="E99" s="13" t="str">
        <f t="shared" ca="1" si="6"/>
        <v>continue</v>
      </c>
      <c r="F99">
        <f t="shared" ca="1" si="7"/>
        <v>0</v>
      </c>
    </row>
    <row r="100" spans="1:6">
      <c r="A100" s="3">
        <f t="shared" ca="1" si="9"/>
        <v>102.19589145289241</v>
      </c>
      <c r="B100" s="2">
        <f t="shared" ca="1" si="10"/>
        <v>0.63392248465567214</v>
      </c>
      <c r="C100" s="2">
        <f ca="1">IF(E99="continue",SUM(B$8:B100),"")</f>
        <v>89.706912033898433</v>
      </c>
      <c r="D100" s="1">
        <f t="shared" ca="1" si="8"/>
        <v>112.41548059818166</v>
      </c>
      <c r="E100" s="13" t="str">
        <f t="shared" ca="1" si="6"/>
        <v>No ruin</v>
      </c>
      <c r="F100">
        <f t="shared" ca="1" si="7"/>
        <v>0</v>
      </c>
    </row>
    <row r="101" spans="1:6">
      <c r="A101" s="3" t="str">
        <f t="shared" ca="1" si="9"/>
        <v/>
      </c>
      <c r="B101" s="2" t="str">
        <f t="shared" ca="1" si="10"/>
        <v/>
      </c>
      <c r="C101" s="2" t="str">
        <f ca="1">IF(E100="continue",SUM(B$8:B101),"")</f>
        <v/>
      </c>
      <c r="D101" s="1" t="str">
        <f t="shared" ca="1" si="8"/>
        <v/>
      </c>
      <c r="E101" s="13" t="str">
        <f t="shared" ca="1" si="6"/>
        <v>No ruin</v>
      </c>
      <c r="F101">
        <f t="shared" ca="1" si="7"/>
        <v>0</v>
      </c>
    </row>
    <row r="102" spans="1:6">
      <c r="A102" s="3" t="str">
        <f t="shared" ca="1" si="9"/>
        <v/>
      </c>
      <c r="B102" s="2" t="str">
        <f t="shared" ca="1" si="10"/>
        <v/>
      </c>
      <c r="C102" s="2" t="str">
        <f ca="1">IF(E101="continue",SUM(B$8:B102),"")</f>
        <v/>
      </c>
      <c r="D102" s="1" t="str">
        <f t="shared" ca="1" si="8"/>
        <v/>
      </c>
      <c r="E102" s="13" t="str">
        <f t="shared" ca="1" si="6"/>
        <v>No ruin</v>
      </c>
      <c r="F102">
        <f t="shared" ca="1" si="7"/>
        <v>0</v>
      </c>
    </row>
    <row r="103" spans="1:6">
      <c r="A103" s="3" t="str">
        <f t="shared" ca="1" si="9"/>
        <v/>
      </c>
      <c r="B103" s="2" t="str">
        <f t="shared" ca="1" si="10"/>
        <v/>
      </c>
      <c r="C103" s="2" t="str">
        <f ca="1">IF(E102="continue",SUM(B$8:B103),"")</f>
        <v/>
      </c>
      <c r="D103" s="1" t="str">
        <f t="shared" ca="1" si="8"/>
        <v/>
      </c>
      <c r="E103" s="13" t="str">
        <f t="shared" ca="1" si="6"/>
        <v>No ruin</v>
      </c>
      <c r="F103">
        <f t="shared" ca="1" si="7"/>
        <v>0</v>
      </c>
    </row>
    <row r="104" spans="1:6">
      <c r="A104" s="3" t="str">
        <f t="shared" ca="1" si="9"/>
        <v/>
      </c>
      <c r="B104" s="2" t="str">
        <f t="shared" ca="1" si="10"/>
        <v/>
      </c>
      <c r="C104" s="2" t="str">
        <f ca="1">IF(E103="continue",SUM(B$8:B104),"")</f>
        <v/>
      </c>
      <c r="D104" s="1" t="str">
        <f t="shared" ca="1" si="8"/>
        <v/>
      </c>
      <c r="E104" s="13" t="str">
        <f t="shared" ca="1" si="6"/>
        <v>No ruin</v>
      </c>
      <c r="F104">
        <f t="shared" ca="1" si="7"/>
        <v>0</v>
      </c>
    </row>
    <row r="105" spans="1:6">
      <c r="A105" s="3" t="str">
        <f t="shared" ca="1" si="9"/>
        <v/>
      </c>
      <c r="B105" s="2" t="str">
        <f t="shared" ca="1" si="10"/>
        <v/>
      </c>
      <c r="C105" s="2" t="str">
        <f ca="1">IF(E104="continue",SUM(B$8:B105),"")</f>
        <v/>
      </c>
      <c r="D105" s="1" t="str">
        <f t="shared" ca="1" si="8"/>
        <v/>
      </c>
      <c r="E105" s="13" t="str">
        <f t="shared" ca="1" si="6"/>
        <v>No ruin</v>
      </c>
      <c r="F105">
        <f t="shared" ca="1" si="7"/>
        <v>0</v>
      </c>
    </row>
    <row r="106" spans="1:6">
      <c r="A106" s="3" t="str">
        <f t="shared" ca="1" si="9"/>
        <v/>
      </c>
      <c r="B106" s="2" t="str">
        <f t="shared" ca="1" si="10"/>
        <v/>
      </c>
      <c r="C106" s="2" t="str">
        <f ca="1">IF(E105="continue",SUM(B$8:B106),"")</f>
        <v/>
      </c>
      <c r="D106" s="1" t="str">
        <f t="shared" ca="1" si="8"/>
        <v/>
      </c>
      <c r="E106" s="13" t="str">
        <f t="shared" ca="1" si="6"/>
        <v>No ruin</v>
      </c>
      <c r="F106">
        <f t="shared" ca="1" si="7"/>
        <v>0</v>
      </c>
    </row>
    <row r="107" spans="1:6">
      <c r="A107" s="3" t="str">
        <f t="shared" ca="1" si="9"/>
        <v/>
      </c>
      <c r="B107" s="2" t="str">
        <f t="shared" ca="1" si="10"/>
        <v/>
      </c>
      <c r="C107" s="2" t="str">
        <f ca="1">IF(E106="continue",SUM(B$8:B107),"")</f>
        <v/>
      </c>
      <c r="D107" s="1" t="str">
        <f t="shared" ca="1" si="8"/>
        <v/>
      </c>
      <c r="E107" s="13" t="str">
        <f t="shared" ca="1" si="6"/>
        <v>No ruin</v>
      </c>
      <c r="F107">
        <f t="shared" ca="1" si="7"/>
        <v>0</v>
      </c>
    </row>
    <row r="108" spans="1:6">
      <c r="A108" s="3" t="str">
        <f t="shared" ca="1" si="9"/>
        <v/>
      </c>
      <c r="B108" s="2" t="str">
        <f t="shared" ca="1" si="10"/>
        <v/>
      </c>
      <c r="C108" s="2" t="str">
        <f ca="1">IF(E107="continue",SUM(B$8:B108),"")</f>
        <v/>
      </c>
      <c r="D108" s="1" t="str">
        <f t="shared" ca="1" si="8"/>
        <v/>
      </c>
      <c r="E108" s="13" t="str">
        <f t="shared" ca="1" si="6"/>
        <v>No ruin</v>
      </c>
      <c r="F108">
        <f t="shared" ca="1" si="7"/>
        <v>0</v>
      </c>
    </row>
    <row r="109" spans="1:6">
      <c r="A109" s="3" t="str">
        <f t="shared" ca="1" si="9"/>
        <v/>
      </c>
      <c r="B109" s="2" t="str">
        <f t="shared" ca="1" si="10"/>
        <v/>
      </c>
      <c r="C109" s="2" t="str">
        <f ca="1">IF(E108="continue",SUM(B$8:B109),"")</f>
        <v/>
      </c>
      <c r="D109" s="1" t="str">
        <f t="shared" ca="1" si="8"/>
        <v/>
      </c>
      <c r="E109" s="13" t="str">
        <f t="shared" ca="1" si="6"/>
        <v>No ruin</v>
      </c>
      <c r="F109">
        <f t="shared" ca="1" si="7"/>
        <v>0</v>
      </c>
    </row>
    <row r="110" spans="1:6">
      <c r="A110" s="3" t="str">
        <f t="shared" ca="1" si="9"/>
        <v/>
      </c>
      <c r="B110" s="2" t="str">
        <f t="shared" ca="1" si="10"/>
        <v/>
      </c>
      <c r="C110" s="2" t="str">
        <f ca="1">IF(E109="continue",SUM(B$8:B110),"")</f>
        <v/>
      </c>
      <c r="D110" s="1" t="str">
        <f t="shared" ca="1" si="8"/>
        <v/>
      </c>
      <c r="E110" s="13" t="str">
        <f t="shared" ca="1" si="6"/>
        <v>No ruin</v>
      </c>
      <c r="F110">
        <f t="shared" ca="1" si="7"/>
        <v>0</v>
      </c>
    </row>
    <row r="111" spans="1:6">
      <c r="A111" s="3" t="str">
        <f t="shared" ca="1" si="9"/>
        <v/>
      </c>
      <c r="B111" s="2" t="str">
        <f t="shared" ca="1" si="10"/>
        <v/>
      </c>
      <c r="C111" s="2" t="str">
        <f ca="1">IF(E110="continue",SUM(B$8:B111),"")</f>
        <v/>
      </c>
      <c r="D111" s="1" t="str">
        <f t="shared" ca="1" si="8"/>
        <v/>
      </c>
      <c r="E111" s="13" t="str">
        <f t="shared" ca="1" si="6"/>
        <v>No ruin</v>
      </c>
      <c r="F111">
        <f t="shared" ca="1" si="7"/>
        <v>0</v>
      </c>
    </row>
    <row r="112" spans="1:6">
      <c r="A112" s="3" t="str">
        <f t="shared" ca="1" si="9"/>
        <v/>
      </c>
      <c r="B112" s="2" t="str">
        <f t="shared" ca="1" si="10"/>
        <v/>
      </c>
      <c r="C112" s="2" t="str">
        <f ca="1">IF(E111="continue",SUM(B$8:B112),"")</f>
        <v/>
      </c>
      <c r="D112" s="1" t="str">
        <f t="shared" ca="1" si="8"/>
        <v/>
      </c>
      <c r="E112" s="13" t="str">
        <f t="shared" ca="1" si="6"/>
        <v>No ruin</v>
      </c>
      <c r="F112">
        <f t="shared" ca="1" si="7"/>
        <v>0</v>
      </c>
    </row>
    <row r="113" spans="1:6">
      <c r="A113" s="3" t="str">
        <f t="shared" ca="1" si="9"/>
        <v/>
      </c>
      <c r="B113" s="2" t="str">
        <f t="shared" ca="1" si="10"/>
        <v/>
      </c>
      <c r="C113" s="2" t="str">
        <f ca="1">IF(E112="continue",SUM(B$8:B113),"")</f>
        <v/>
      </c>
      <c r="D113" s="1" t="str">
        <f t="shared" ca="1" si="8"/>
        <v/>
      </c>
      <c r="E113" s="13" t="str">
        <f t="shared" ca="1" si="6"/>
        <v>No ruin</v>
      </c>
      <c r="F113">
        <f t="shared" ca="1" si="7"/>
        <v>0</v>
      </c>
    </row>
    <row r="114" spans="1:6">
      <c r="A114" s="3" t="str">
        <f t="shared" ca="1" si="9"/>
        <v/>
      </c>
      <c r="B114" s="2" t="str">
        <f t="shared" ca="1" si="10"/>
        <v/>
      </c>
      <c r="C114" s="2" t="str">
        <f ca="1">IF(E113="continue",SUM(B$8:B114),"")</f>
        <v/>
      </c>
      <c r="D114" s="1" t="str">
        <f t="shared" ca="1" si="8"/>
        <v/>
      </c>
      <c r="E114" s="13" t="str">
        <f t="shared" ca="1" si="6"/>
        <v>No ruin</v>
      </c>
      <c r="F114">
        <f t="shared" ca="1" si="7"/>
        <v>0</v>
      </c>
    </row>
    <row r="115" spans="1:6">
      <c r="A115" s="3" t="str">
        <f t="shared" ca="1" si="9"/>
        <v/>
      </c>
      <c r="B115" s="2" t="str">
        <f t="shared" ca="1" si="10"/>
        <v/>
      </c>
      <c r="C115" s="2" t="str">
        <f ca="1">IF(E114="continue",SUM(B$8:B115),"")</f>
        <v/>
      </c>
      <c r="D115" s="1" t="str">
        <f t="shared" ca="1" si="8"/>
        <v/>
      </c>
      <c r="E115" s="13" t="str">
        <f t="shared" ca="1" si="6"/>
        <v>No ruin</v>
      </c>
      <c r="F115">
        <f t="shared" ca="1" si="7"/>
        <v>0</v>
      </c>
    </row>
    <row r="116" spans="1:6">
      <c r="A116" s="3" t="str">
        <f t="shared" ca="1" si="9"/>
        <v/>
      </c>
      <c r="B116" s="2" t="str">
        <f t="shared" ca="1" si="10"/>
        <v/>
      </c>
      <c r="C116" s="2" t="str">
        <f ca="1">IF(E115="continue",SUM(B$8:B116),"")</f>
        <v/>
      </c>
      <c r="D116" s="1" t="str">
        <f t="shared" ca="1" si="8"/>
        <v/>
      </c>
      <c r="E116" s="13" t="str">
        <f t="shared" ca="1" si="6"/>
        <v>No ruin</v>
      </c>
      <c r="F116">
        <f t="shared" ca="1" si="7"/>
        <v>0</v>
      </c>
    </row>
    <row r="117" spans="1:6">
      <c r="A117" s="3" t="str">
        <f t="shared" ca="1" si="9"/>
        <v/>
      </c>
      <c r="B117" s="2" t="str">
        <f t="shared" ca="1" si="10"/>
        <v/>
      </c>
      <c r="C117" s="2" t="str">
        <f ca="1">IF(E116="continue",SUM(B$8:B117),"")</f>
        <v/>
      </c>
      <c r="D117" s="1" t="str">
        <f t="shared" ca="1" si="8"/>
        <v/>
      </c>
      <c r="E117" s="13" t="str">
        <f t="shared" ca="1" si="6"/>
        <v>No ruin</v>
      </c>
      <c r="F117">
        <f t="shared" ca="1" si="7"/>
        <v>0</v>
      </c>
    </row>
    <row r="118" spans="1:6">
      <c r="A118" s="3" t="str">
        <f t="shared" ca="1" si="9"/>
        <v/>
      </c>
      <c r="B118" s="2" t="str">
        <f t="shared" ca="1" si="10"/>
        <v/>
      </c>
      <c r="C118" s="2" t="str">
        <f ca="1">IF(E117="continue",SUM(B$8:B118),"")</f>
        <v/>
      </c>
      <c r="D118" s="1" t="str">
        <f t="shared" ca="1" si="8"/>
        <v/>
      </c>
      <c r="E118" s="13" t="str">
        <f t="shared" ca="1" si="6"/>
        <v>No ruin</v>
      </c>
      <c r="F118">
        <f t="shared" ca="1" si="7"/>
        <v>0</v>
      </c>
    </row>
    <row r="119" spans="1:6">
      <c r="A119" s="3" t="str">
        <f t="shared" ca="1" si="9"/>
        <v/>
      </c>
      <c r="B119" s="2" t="str">
        <f t="shared" ca="1" si="10"/>
        <v/>
      </c>
      <c r="C119" s="2" t="str">
        <f ca="1">IF(E118="continue",SUM(B$8:B119),"")</f>
        <v/>
      </c>
      <c r="D119" s="1" t="str">
        <f t="shared" ca="1" si="8"/>
        <v/>
      </c>
      <c r="E119" s="13" t="str">
        <f t="shared" ca="1" si="6"/>
        <v>No ruin</v>
      </c>
      <c r="F119">
        <f t="shared" ca="1" si="7"/>
        <v>0</v>
      </c>
    </row>
    <row r="120" spans="1:6">
      <c r="A120" s="3" t="str">
        <f t="shared" ca="1" si="9"/>
        <v/>
      </c>
      <c r="B120" s="2" t="str">
        <f t="shared" ca="1" si="10"/>
        <v/>
      </c>
      <c r="C120" s="2" t="str">
        <f ca="1">IF(E119="continue",SUM(B$8:B120),"")</f>
        <v/>
      </c>
      <c r="D120" s="1" t="str">
        <f t="shared" ca="1" si="8"/>
        <v/>
      </c>
      <c r="E120" s="13" t="str">
        <f t="shared" ca="1" si="6"/>
        <v>No ruin</v>
      </c>
      <c r="F120">
        <f t="shared" ca="1" si="7"/>
        <v>0</v>
      </c>
    </row>
    <row r="121" spans="1:6">
      <c r="A121" s="3" t="str">
        <f t="shared" ca="1" si="9"/>
        <v/>
      </c>
      <c r="B121" s="2" t="str">
        <f t="shared" ca="1" si="10"/>
        <v/>
      </c>
      <c r="C121" s="2" t="str">
        <f ca="1">IF(E120="continue",SUM(B$8:B121),"")</f>
        <v/>
      </c>
      <c r="D121" s="1" t="str">
        <f t="shared" ca="1" si="8"/>
        <v/>
      </c>
      <c r="E121" s="13" t="str">
        <f t="shared" ca="1" si="6"/>
        <v>No ruin</v>
      </c>
      <c r="F121">
        <f t="shared" ca="1" si="7"/>
        <v>0</v>
      </c>
    </row>
    <row r="122" spans="1:6">
      <c r="A122" s="3" t="str">
        <f t="shared" ca="1" si="9"/>
        <v/>
      </c>
      <c r="B122" s="2" t="str">
        <f t="shared" ca="1" si="10"/>
        <v/>
      </c>
      <c r="C122" s="2" t="str">
        <f ca="1">IF(E121="continue",SUM(B$8:B122),"")</f>
        <v/>
      </c>
      <c r="D122" s="1" t="str">
        <f t="shared" ca="1" si="8"/>
        <v/>
      </c>
      <c r="E122" s="13" t="str">
        <f t="shared" ca="1" si="6"/>
        <v>No ruin</v>
      </c>
      <c r="F122">
        <f t="shared" ca="1" si="7"/>
        <v>0</v>
      </c>
    </row>
    <row r="123" spans="1:6">
      <c r="A123" s="3" t="str">
        <f t="shared" ca="1" si="9"/>
        <v/>
      </c>
      <c r="B123" s="2" t="str">
        <f t="shared" ca="1" si="10"/>
        <v/>
      </c>
      <c r="C123" s="2" t="str">
        <f ca="1">IF(E122="continue",SUM(B$8:B123),"")</f>
        <v/>
      </c>
      <c r="D123" s="1" t="str">
        <f t="shared" ca="1" si="8"/>
        <v/>
      </c>
      <c r="E123" s="13" t="str">
        <f t="shared" ca="1" si="6"/>
        <v>No ruin</v>
      </c>
      <c r="F123">
        <f t="shared" ca="1" si="7"/>
        <v>0</v>
      </c>
    </row>
    <row r="124" spans="1:6">
      <c r="A124" s="3" t="str">
        <f t="shared" ca="1" si="9"/>
        <v/>
      </c>
      <c r="B124" s="2" t="str">
        <f t="shared" ca="1" si="10"/>
        <v/>
      </c>
      <c r="C124" s="2" t="str">
        <f ca="1">IF(E123="continue",SUM(B$8:B124),"")</f>
        <v/>
      </c>
      <c r="D124" s="1" t="str">
        <f t="shared" ca="1" si="8"/>
        <v/>
      </c>
      <c r="E124" s="13" t="str">
        <f t="shared" ca="1" si="6"/>
        <v>No ruin</v>
      </c>
      <c r="F124">
        <f t="shared" ca="1" si="7"/>
        <v>0</v>
      </c>
    </row>
    <row r="125" spans="1:6">
      <c r="A125" s="3" t="str">
        <f t="shared" ca="1" si="9"/>
        <v/>
      </c>
      <c r="B125" s="2" t="str">
        <f t="shared" ca="1" si="10"/>
        <v/>
      </c>
      <c r="C125" s="2" t="str">
        <f ca="1">IF(E124="continue",SUM(B$8:B125),"")</f>
        <v/>
      </c>
      <c r="D125" s="1" t="str">
        <f t="shared" ca="1" si="8"/>
        <v/>
      </c>
      <c r="E125" s="13" t="str">
        <f t="shared" ca="1" si="6"/>
        <v>No ruin</v>
      </c>
      <c r="F125">
        <f t="shared" ca="1" si="7"/>
        <v>0</v>
      </c>
    </row>
    <row r="126" spans="1:6">
      <c r="A126" s="3" t="str">
        <f t="shared" ca="1" si="9"/>
        <v/>
      </c>
      <c r="B126" s="2" t="str">
        <f t="shared" ca="1" si="10"/>
        <v/>
      </c>
      <c r="C126" s="2" t="str">
        <f ca="1">IF(E125="continue",SUM(B$8:B126),"")</f>
        <v/>
      </c>
      <c r="D126" s="1" t="str">
        <f t="shared" ca="1" si="8"/>
        <v/>
      </c>
      <c r="E126" s="13" t="str">
        <f t="shared" ca="1" si="6"/>
        <v>No ruin</v>
      </c>
      <c r="F126">
        <f t="shared" ca="1" si="7"/>
        <v>0</v>
      </c>
    </row>
    <row r="127" spans="1:6">
      <c r="A127" s="3" t="str">
        <f t="shared" ca="1" si="9"/>
        <v/>
      </c>
      <c r="B127" s="2" t="str">
        <f t="shared" ca="1" si="10"/>
        <v/>
      </c>
      <c r="C127" s="2" t="str">
        <f ca="1">IF(E126="continue",SUM(B$8:B127),"")</f>
        <v/>
      </c>
      <c r="D127" s="1" t="str">
        <f t="shared" ca="1" si="8"/>
        <v/>
      </c>
      <c r="E127" s="13" t="str">
        <f t="shared" ca="1" si="6"/>
        <v>No ruin</v>
      </c>
      <c r="F127">
        <f t="shared" ca="1" si="7"/>
        <v>0</v>
      </c>
    </row>
    <row r="128" spans="1:6">
      <c r="A128" s="3" t="str">
        <f t="shared" ca="1" si="9"/>
        <v/>
      </c>
      <c r="B128" s="2" t="str">
        <f t="shared" ca="1" si="10"/>
        <v/>
      </c>
      <c r="C128" s="2" t="str">
        <f ca="1">IF(E127="continue",SUM(B$8:B128),"")</f>
        <v/>
      </c>
      <c r="D128" s="1" t="str">
        <f t="shared" ca="1" si="8"/>
        <v/>
      </c>
      <c r="E128" s="13" t="str">
        <f t="shared" ca="1" si="6"/>
        <v>No ruin</v>
      </c>
      <c r="F128">
        <f t="shared" ca="1" si="7"/>
        <v>0</v>
      </c>
    </row>
    <row r="129" spans="1:6">
      <c r="A129" s="3" t="str">
        <f t="shared" ca="1" si="9"/>
        <v/>
      </c>
      <c r="B129" s="2" t="str">
        <f t="shared" ca="1" si="10"/>
        <v/>
      </c>
      <c r="C129" s="2" t="str">
        <f ca="1">IF(E128="continue",SUM(B$8:B129),"")</f>
        <v/>
      </c>
      <c r="D129" s="1" t="str">
        <f t="shared" ca="1" si="8"/>
        <v/>
      </c>
      <c r="E129" s="13" t="str">
        <f t="shared" ca="1" si="6"/>
        <v>No ruin</v>
      </c>
      <c r="F129">
        <f t="shared" ca="1" si="7"/>
        <v>0</v>
      </c>
    </row>
    <row r="130" spans="1:6">
      <c r="A130" s="3" t="str">
        <f t="shared" ca="1" si="9"/>
        <v/>
      </c>
      <c r="B130" s="2" t="str">
        <f t="shared" ca="1" si="10"/>
        <v/>
      </c>
      <c r="C130" s="2" t="str">
        <f ca="1">IF(E129="continue",SUM(B$8:B130),"")</f>
        <v/>
      </c>
      <c r="D130" s="1" t="str">
        <f t="shared" ca="1" si="8"/>
        <v/>
      </c>
      <c r="E130" s="13" t="str">
        <f t="shared" ca="1" si="6"/>
        <v>No ruin</v>
      </c>
      <c r="F130">
        <f t="shared" ca="1" si="7"/>
        <v>0</v>
      </c>
    </row>
    <row r="131" spans="1:6">
      <c r="A131" s="3" t="str">
        <f t="shared" ca="1" si="9"/>
        <v/>
      </c>
      <c r="B131" s="2" t="str">
        <f t="shared" ca="1" si="10"/>
        <v/>
      </c>
      <c r="C131" s="2" t="str">
        <f ca="1">IF(E130="continue",SUM(B$8:B131),"")</f>
        <v/>
      </c>
      <c r="D131" s="1" t="str">
        <f t="shared" ca="1" si="8"/>
        <v/>
      </c>
      <c r="E131" s="13" t="str">
        <f t="shared" ca="1" si="6"/>
        <v>No ruin</v>
      </c>
      <c r="F131">
        <f t="shared" ca="1" si="7"/>
        <v>0</v>
      </c>
    </row>
    <row r="132" spans="1:6">
      <c r="A132" s="3" t="str">
        <f t="shared" ca="1" si="9"/>
        <v/>
      </c>
      <c r="B132" s="2" t="str">
        <f t="shared" ca="1" si="10"/>
        <v/>
      </c>
      <c r="C132" s="2" t="str">
        <f ca="1">IF(E131="continue",SUM(B$8:B132),"")</f>
        <v/>
      </c>
      <c r="D132" s="1" t="str">
        <f t="shared" ca="1" si="8"/>
        <v/>
      </c>
      <c r="E132" s="13" t="str">
        <f t="shared" ca="1" si="6"/>
        <v>No ruin</v>
      </c>
      <c r="F132">
        <f t="shared" ca="1" si="7"/>
        <v>0</v>
      </c>
    </row>
    <row r="133" spans="1:6">
      <c r="A133" s="3" t="str">
        <f t="shared" ca="1" si="9"/>
        <v/>
      </c>
      <c r="B133" s="2" t="str">
        <f t="shared" ca="1" si="10"/>
        <v/>
      </c>
      <c r="C133" s="2" t="str">
        <f ca="1">IF(E132="continue",SUM(B$8:B133),"")</f>
        <v/>
      </c>
      <c r="D133" s="1" t="str">
        <f t="shared" ca="1" si="8"/>
        <v/>
      </c>
      <c r="E133" s="13" t="str">
        <f t="shared" ca="1" si="6"/>
        <v>No ruin</v>
      </c>
      <c r="F133">
        <f t="shared" ca="1" si="7"/>
        <v>0</v>
      </c>
    </row>
    <row r="134" spans="1:6">
      <c r="A134" s="3" t="str">
        <f t="shared" ca="1" si="9"/>
        <v/>
      </c>
      <c r="B134" s="2" t="str">
        <f t="shared" ca="1" si="10"/>
        <v/>
      </c>
      <c r="C134" s="2" t="str">
        <f ca="1">IF(E133="continue",SUM(B$8:B134),"")</f>
        <v/>
      </c>
      <c r="D134" s="1" t="str">
        <f t="shared" ca="1" si="8"/>
        <v/>
      </c>
      <c r="E134" s="13" t="str">
        <f t="shared" ca="1" si="6"/>
        <v>No ruin</v>
      </c>
      <c r="F134">
        <f t="shared" ca="1" si="7"/>
        <v>0</v>
      </c>
    </row>
    <row r="135" spans="1:6">
      <c r="A135" s="3" t="str">
        <f t="shared" ca="1" si="9"/>
        <v/>
      </c>
      <c r="B135" s="2" t="str">
        <f t="shared" ca="1" si="10"/>
        <v/>
      </c>
      <c r="C135" s="2" t="str">
        <f ca="1">IF(E134="continue",SUM(B$8:B135),"")</f>
        <v/>
      </c>
      <c r="D135" s="1" t="str">
        <f t="shared" ca="1" si="8"/>
        <v/>
      </c>
      <c r="E135" s="13" t="str">
        <f t="shared" ca="1" si="6"/>
        <v>No ruin</v>
      </c>
      <c r="F135">
        <f t="shared" ca="1" si="7"/>
        <v>0</v>
      </c>
    </row>
    <row r="136" spans="1:6">
      <c r="A136" s="3" t="str">
        <f t="shared" ca="1" si="9"/>
        <v/>
      </c>
      <c r="B136" s="2" t="str">
        <f t="shared" ca="1" si="10"/>
        <v/>
      </c>
      <c r="C136" s="2" t="str">
        <f ca="1">IF(E135="continue",SUM(B$8:B136),"")</f>
        <v/>
      </c>
      <c r="D136" s="1" t="str">
        <f t="shared" ca="1" si="8"/>
        <v/>
      </c>
      <c r="E136" s="13" t="str">
        <f t="shared" ca="1" si="6"/>
        <v>No ruin</v>
      </c>
      <c r="F136">
        <f t="shared" ca="1" si="7"/>
        <v>0</v>
      </c>
    </row>
    <row r="137" spans="1:6">
      <c r="A137" s="3" t="str">
        <f t="shared" ca="1" si="9"/>
        <v/>
      </c>
      <c r="B137" s="2" t="str">
        <f t="shared" ca="1" si="10"/>
        <v/>
      </c>
      <c r="C137" s="2" t="str">
        <f ca="1">IF(E136="continue",SUM(B$8:B137),"")</f>
        <v/>
      </c>
      <c r="D137" s="1" t="str">
        <f t="shared" ca="1" si="8"/>
        <v/>
      </c>
      <c r="E137" s="13" t="str">
        <f t="shared" ca="1" si="6"/>
        <v>No ruin</v>
      </c>
      <c r="F137">
        <f t="shared" ca="1" si="7"/>
        <v>0</v>
      </c>
    </row>
    <row r="138" spans="1:6">
      <c r="A138" s="3" t="str">
        <f t="shared" ca="1" si="9"/>
        <v/>
      </c>
      <c r="B138" s="2" t="str">
        <f t="shared" ca="1" si="10"/>
        <v/>
      </c>
      <c r="C138" s="2" t="str">
        <f ca="1">IF(E137="continue",SUM(B$8:B138),"")</f>
        <v/>
      </c>
      <c r="D138" s="1" t="str">
        <f t="shared" ca="1" si="8"/>
        <v/>
      </c>
      <c r="E138" s="13" t="str">
        <f t="shared" ref="E138:E201" ca="1" si="11">IF(A138&gt;G$1,"No ruin",IF(AND(A138&lt;=G$1,C138&gt;J$4+D138),"RUIN","continue"))</f>
        <v>No ruin</v>
      </c>
      <c r="F138">
        <f t="shared" ref="F138:F201" ca="1" si="12">IF(E138="RUIN",1,0)</f>
        <v>0</v>
      </c>
    </row>
    <row r="139" spans="1:6">
      <c r="A139" s="3" t="str">
        <f t="shared" ca="1" si="9"/>
        <v/>
      </c>
      <c r="B139" s="2" t="str">
        <f t="shared" ca="1" si="10"/>
        <v/>
      </c>
      <c r="C139" s="2" t="str">
        <f ca="1">IF(E138="continue",SUM(B$8:B139),"")</f>
        <v/>
      </c>
      <c r="D139" s="1" t="str">
        <f t="shared" ref="D139:D202" ca="1" si="13">IF(E138="continue",(1+J$1)*(1/O$3)*M$3*A139,"")</f>
        <v/>
      </c>
      <c r="E139" s="13" t="str">
        <f t="shared" ca="1" si="11"/>
        <v>No ruin</v>
      </c>
      <c r="F139">
        <f t="shared" ca="1" si="12"/>
        <v>0</v>
      </c>
    </row>
    <row r="140" spans="1:6">
      <c r="A140" s="3" t="str">
        <f t="shared" ref="A140:A203" ca="1" si="14">IF(E139="continue",-LN(1-RAND())*O$3+A139,"")</f>
        <v/>
      </c>
      <c r="B140" s="2" t="str">
        <f t="shared" ref="B140:B203" ca="1" si="15">IF(E139="continue",-LN(1-RAND())*M$3,"")</f>
        <v/>
      </c>
      <c r="C140" s="2" t="str">
        <f ca="1">IF(E139="continue",SUM(B$8:B140),"")</f>
        <v/>
      </c>
      <c r="D140" s="1" t="str">
        <f t="shared" ca="1" si="13"/>
        <v/>
      </c>
      <c r="E140" s="13" t="str">
        <f t="shared" ca="1" si="11"/>
        <v>No ruin</v>
      </c>
      <c r="F140">
        <f t="shared" ca="1" si="12"/>
        <v>0</v>
      </c>
    </row>
    <row r="141" spans="1:6">
      <c r="A141" s="3" t="str">
        <f t="shared" ca="1" si="14"/>
        <v/>
      </c>
      <c r="B141" s="2" t="str">
        <f t="shared" ca="1" si="15"/>
        <v/>
      </c>
      <c r="C141" s="2" t="str">
        <f ca="1">IF(E140="continue",SUM(B$8:B141),"")</f>
        <v/>
      </c>
      <c r="D141" s="1" t="str">
        <f t="shared" ca="1" si="13"/>
        <v/>
      </c>
      <c r="E141" s="13" t="str">
        <f t="shared" ca="1" si="11"/>
        <v>No ruin</v>
      </c>
      <c r="F141">
        <f t="shared" ca="1" si="12"/>
        <v>0</v>
      </c>
    </row>
    <row r="142" spans="1:6">
      <c r="A142" s="3" t="str">
        <f t="shared" ca="1" si="14"/>
        <v/>
      </c>
      <c r="B142" s="2" t="str">
        <f t="shared" ca="1" si="15"/>
        <v/>
      </c>
      <c r="C142" s="2" t="str">
        <f ca="1">IF(E141="continue",SUM(B$8:B142),"")</f>
        <v/>
      </c>
      <c r="D142" s="1" t="str">
        <f t="shared" ca="1" si="13"/>
        <v/>
      </c>
      <c r="E142" s="13" t="str">
        <f t="shared" ca="1" si="11"/>
        <v>No ruin</v>
      </c>
      <c r="F142">
        <f t="shared" ca="1" si="12"/>
        <v>0</v>
      </c>
    </row>
    <row r="143" spans="1:6">
      <c r="A143" s="3" t="str">
        <f t="shared" ca="1" si="14"/>
        <v/>
      </c>
      <c r="B143" s="2" t="str">
        <f t="shared" ca="1" si="15"/>
        <v/>
      </c>
      <c r="C143" s="2" t="str">
        <f ca="1">IF(E142="continue",SUM(B$8:B143),"")</f>
        <v/>
      </c>
      <c r="D143" s="1" t="str">
        <f t="shared" ca="1" si="13"/>
        <v/>
      </c>
      <c r="E143" s="13" t="str">
        <f t="shared" ca="1" si="11"/>
        <v>No ruin</v>
      </c>
      <c r="F143">
        <f t="shared" ca="1" si="12"/>
        <v>0</v>
      </c>
    </row>
    <row r="144" spans="1:6">
      <c r="A144" s="3" t="str">
        <f t="shared" ca="1" si="14"/>
        <v/>
      </c>
      <c r="B144" s="2" t="str">
        <f t="shared" ca="1" si="15"/>
        <v/>
      </c>
      <c r="C144" s="2" t="str">
        <f ca="1">IF(E143="continue",SUM(B$8:B144),"")</f>
        <v/>
      </c>
      <c r="D144" s="1" t="str">
        <f t="shared" ca="1" si="13"/>
        <v/>
      </c>
      <c r="E144" s="13" t="str">
        <f t="shared" ca="1" si="11"/>
        <v>No ruin</v>
      </c>
      <c r="F144">
        <f t="shared" ca="1" si="12"/>
        <v>0</v>
      </c>
    </row>
    <row r="145" spans="1:6">
      <c r="A145" s="3" t="str">
        <f t="shared" ca="1" si="14"/>
        <v/>
      </c>
      <c r="B145" s="2" t="str">
        <f t="shared" ca="1" si="15"/>
        <v/>
      </c>
      <c r="C145" s="2" t="str">
        <f ca="1">IF(E144="continue",SUM(B$8:B145),"")</f>
        <v/>
      </c>
      <c r="D145" s="1" t="str">
        <f t="shared" ca="1" si="13"/>
        <v/>
      </c>
      <c r="E145" s="13" t="str">
        <f t="shared" ca="1" si="11"/>
        <v>No ruin</v>
      </c>
      <c r="F145">
        <f t="shared" ca="1" si="12"/>
        <v>0</v>
      </c>
    </row>
    <row r="146" spans="1:6">
      <c r="A146" s="3" t="str">
        <f t="shared" ca="1" si="14"/>
        <v/>
      </c>
      <c r="B146" s="2" t="str">
        <f t="shared" ca="1" si="15"/>
        <v/>
      </c>
      <c r="C146" s="2" t="str">
        <f ca="1">IF(E145="continue",SUM(B$8:B146),"")</f>
        <v/>
      </c>
      <c r="D146" s="1" t="str">
        <f t="shared" ca="1" si="13"/>
        <v/>
      </c>
      <c r="E146" s="13" t="str">
        <f t="shared" ca="1" si="11"/>
        <v>No ruin</v>
      </c>
      <c r="F146">
        <f t="shared" ca="1" si="12"/>
        <v>0</v>
      </c>
    </row>
    <row r="147" spans="1:6">
      <c r="A147" s="3" t="str">
        <f t="shared" ca="1" si="14"/>
        <v/>
      </c>
      <c r="B147" s="2" t="str">
        <f t="shared" ca="1" si="15"/>
        <v/>
      </c>
      <c r="C147" s="2" t="str">
        <f ca="1">IF(E146="continue",SUM(B$8:B147),"")</f>
        <v/>
      </c>
      <c r="D147" s="1" t="str">
        <f t="shared" ca="1" si="13"/>
        <v/>
      </c>
      <c r="E147" s="13" t="str">
        <f t="shared" ca="1" si="11"/>
        <v>No ruin</v>
      </c>
      <c r="F147">
        <f t="shared" ca="1" si="12"/>
        <v>0</v>
      </c>
    </row>
    <row r="148" spans="1:6">
      <c r="A148" s="3" t="str">
        <f t="shared" ca="1" si="14"/>
        <v/>
      </c>
      <c r="B148" s="2" t="str">
        <f t="shared" ca="1" si="15"/>
        <v/>
      </c>
      <c r="C148" s="2" t="str">
        <f ca="1">IF(E147="continue",SUM(B$8:B148),"")</f>
        <v/>
      </c>
      <c r="D148" s="1" t="str">
        <f t="shared" ca="1" si="13"/>
        <v/>
      </c>
      <c r="E148" s="13" t="str">
        <f t="shared" ca="1" si="11"/>
        <v>No ruin</v>
      </c>
      <c r="F148">
        <f t="shared" ca="1" si="12"/>
        <v>0</v>
      </c>
    </row>
    <row r="149" spans="1:6">
      <c r="A149" s="3" t="str">
        <f t="shared" ca="1" si="14"/>
        <v/>
      </c>
      <c r="B149" s="2" t="str">
        <f t="shared" ca="1" si="15"/>
        <v/>
      </c>
      <c r="C149" s="2" t="str">
        <f ca="1">IF(E148="continue",SUM(B$8:B149),"")</f>
        <v/>
      </c>
      <c r="D149" s="1" t="str">
        <f t="shared" ca="1" si="13"/>
        <v/>
      </c>
      <c r="E149" s="13" t="str">
        <f t="shared" ca="1" si="11"/>
        <v>No ruin</v>
      </c>
      <c r="F149">
        <f t="shared" ca="1" si="12"/>
        <v>0</v>
      </c>
    </row>
    <row r="150" spans="1:6">
      <c r="A150" s="3" t="str">
        <f t="shared" ca="1" si="14"/>
        <v/>
      </c>
      <c r="B150" s="2" t="str">
        <f t="shared" ca="1" si="15"/>
        <v/>
      </c>
      <c r="C150" s="2" t="str">
        <f ca="1">IF(E149="continue",SUM(B$8:B150),"")</f>
        <v/>
      </c>
      <c r="D150" s="1" t="str">
        <f t="shared" ca="1" si="13"/>
        <v/>
      </c>
      <c r="E150" s="13" t="str">
        <f t="shared" ca="1" si="11"/>
        <v>No ruin</v>
      </c>
      <c r="F150">
        <f t="shared" ca="1" si="12"/>
        <v>0</v>
      </c>
    </row>
    <row r="151" spans="1:6">
      <c r="A151" s="3" t="str">
        <f t="shared" ca="1" si="14"/>
        <v/>
      </c>
      <c r="B151" s="2" t="str">
        <f t="shared" ca="1" si="15"/>
        <v/>
      </c>
      <c r="C151" s="2" t="str">
        <f ca="1">IF(E150="continue",SUM(B$8:B151),"")</f>
        <v/>
      </c>
      <c r="D151" s="1" t="str">
        <f t="shared" ca="1" si="13"/>
        <v/>
      </c>
      <c r="E151" s="13" t="str">
        <f t="shared" ca="1" si="11"/>
        <v>No ruin</v>
      </c>
      <c r="F151">
        <f t="shared" ca="1" si="12"/>
        <v>0</v>
      </c>
    </row>
    <row r="152" spans="1:6">
      <c r="A152" s="3" t="str">
        <f t="shared" ca="1" si="14"/>
        <v/>
      </c>
      <c r="B152" s="2" t="str">
        <f t="shared" ca="1" si="15"/>
        <v/>
      </c>
      <c r="C152" s="2" t="str">
        <f ca="1">IF(E151="continue",SUM(B$8:B152),"")</f>
        <v/>
      </c>
      <c r="D152" s="1" t="str">
        <f t="shared" ca="1" si="13"/>
        <v/>
      </c>
      <c r="E152" s="13" t="str">
        <f t="shared" ca="1" si="11"/>
        <v>No ruin</v>
      </c>
      <c r="F152">
        <f t="shared" ca="1" si="12"/>
        <v>0</v>
      </c>
    </row>
    <row r="153" spans="1:6">
      <c r="A153" s="3" t="str">
        <f t="shared" ca="1" si="14"/>
        <v/>
      </c>
      <c r="B153" s="2" t="str">
        <f t="shared" ca="1" si="15"/>
        <v/>
      </c>
      <c r="C153" s="2" t="str">
        <f ca="1">IF(E152="continue",SUM(B$8:B153),"")</f>
        <v/>
      </c>
      <c r="D153" s="1" t="str">
        <f t="shared" ca="1" si="13"/>
        <v/>
      </c>
      <c r="E153" s="13" t="str">
        <f t="shared" ca="1" si="11"/>
        <v>No ruin</v>
      </c>
      <c r="F153">
        <f t="shared" ca="1" si="12"/>
        <v>0</v>
      </c>
    </row>
    <row r="154" spans="1:6">
      <c r="A154" s="3" t="str">
        <f t="shared" ca="1" si="14"/>
        <v/>
      </c>
      <c r="B154" s="2" t="str">
        <f t="shared" ca="1" si="15"/>
        <v/>
      </c>
      <c r="C154" s="2" t="str">
        <f ca="1">IF(E153="continue",SUM(B$8:B154),"")</f>
        <v/>
      </c>
      <c r="D154" s="1" t="str">
        <f t="shared" ca="1" si="13"/>
        <v/>
      </c>
      <c r="E154" s="13" t="str">
        <f t="shared" ca="1" si="11"/>
        <v>No ruin</v>
      </c>
      <c r="F154">
        <f t="shared" ca="1" si="12"/>
        <v>0</v>
      </c>
    </row>
    <row r="155" spans="1:6">
      <c r="A155" s="3" t="str">
        <f t="shared" ca="1" si="14"/>
        <v/>
      </c>
      <c r="B155" s="2" t="str">
        <f t="shared" ca="1" si="15"/>
        <v/>
      </c>
      <c r="C155" s="2" t="str">
        <f ca="1">IF(E154="continue",SUM(B$8:B155),"")</f>
        <v/>
      </c>
      <c r="D155" s="1" t="str">
        <f t="shared" ca="1" si="13"/>
        <v/>
      </c>
      <c r="E155" s="13" t="str">
        <f t="shared" ca="1" si="11"/>
        <v>No ruin</v>
      </c>
      <c r="F155">
        <f t="shared" ca="1" si="12"/>
        <v>0</v>
      </c>
    </row>
    <row r="156" spans="1:6">
      <c r="A156" s="3" t="str">
        <f t="shared" ca="1" si="14"/>
        <v/>
      </c>
      <c r="B156" s="2" t="str">
        <f t="shared" ca="1" si="15"/>
        <v/>
      </c>
      <c r="C156" s="2" t="str">
        <f ca="1">IF(E155="continue",SUM(B$8:B156),"")</f>
        <v/>
      </c>
      <c r="D156" s="1" t="str">
        <f t="shared" ca="1" si="13"/>
        <v/>
      </c>
      <c r="E156" s="13" t="str">
        <f t="shared" ca="1" si="11"/>
        <v>No ruin</v>
      </c>
      <c r="F156">
        <f t="shared" ca="1" si="12"/>
        <v>0</v>
      </c>
    </row>
    <row r="157" spans="1:6">
      <c r="A157" s="3" t="str">
        <f t="shared" ca="1" si="14"/>
        <v/>
      </c>
      <c r="B157" s="2" t="str">
        <f t="shared" ca="1" si="15"/>
        <v/>
      </c>
      <c r="C157" s="2" t="str">
        <f ca="1">IF(E156="continue",SUM(B$8:B157),"")</f>
        <v/>
      </c>
      <c r="D157" s="1" t="str">
        <f t="shared" ca="1" si="13"/>
        <v/>
      </c>
      <c r="E157" s="13" t="str">
        <f t="shared" ca="1" si="11"/>
        <v>No ruin</v>
      </c>
      <c r="F157">
        <f t="shared" ca="1" si="12"/>
        <v>0</v>
      </c>
    </row>
    <row r="158" spans="1:6">
      <c r="A158" s="3" t="str">
        <f t="shared" ca="1" si="14"/>
        <v/>
      </c>
      <c r="B158" s="2" t="str">
        <f t="shared" ca="1" si="15"/>
        <v/>
      </c>
      <c r="C158" s="2" t="str">
        <f ca="1">IF(E157="continue",SUM(B$8:B158),"")</f>
        <v/>
      </c>
      <c r="D158" s="1" t="str">
        <f t="shared" ca="1" si="13"/>
        <v/>
      </c>
      <c r="E158" s="13" t="str">
        <f t="shared" ca="1" si="11"/>
        <v>No ruin</v>
      </c>
      <c r="F158">
        <f t="shared" ca="1" si="12"/>
        <v>0</v>
      </c>
    </row>
    <row r="159" spans="1:6">
      <c r="A159" s="3" t="str">
        <f t="shared" ca="1" si="14"/>
        <v/>
      </c>
      <c r="B159" s="2" t="str">
        <f t="shared" ca="1" si="15"/>
        <v/>
      </c>
      <c r="C159" s="2" t="str">
        <f ca="1">IF(E158="continue",SUM(B$8:B159),"")</f>
        <v/>
      </c>
      <c r="D159" s="1" t="str">
        <f t="shared" ca="1" si="13"/>
        <v/>
      </c>
      <c r="E159" s="13" t="str">
        <f t="shared" ca="1" si="11"/>
        <v>No ruin</v>
      </c>
      <c r="F159">
        <f t="shared" ca="1" si="12"/>
        <v>0</v>
      </c>
    </row>
    <row r="160" spans="1:6">
      <c r="A160" s="3" t="str">
        <f t="shared" ca="1" si="14"/>
        <v/>
      </c>
      <c r="B160" s="2" t="str">
        <f t="shared" ca="1" si="15"/>
        <v/>
      </c>
      <c r="C160" s="2" t="str">
        <f ca="1">IF(E159="continue",SUM(B$8:B160),"")</f>
        <v/>
      </c>
      <c r="D160" s="1" t="str">
        <f t="shared" ca="1" si="13"/>
        <v/>
      </c>
      <c r="E160" s="13" t="str">
        <f t="shared" ca="1" si="11"/>
        <v>No ruin</v>
      </c>
      <c r="F160">
        <f t="shared" ca="1" si="12"/>
        <v>0</v>
      </c>
    </row>
    <row r="161" spans="1:6">
      <c r="A161" s="3" t="str">
        <f t="shared" ca="1" si="14"/>
        <v/>
      </c>
      <c r="B161" s="2" t="str">
        <f t="shared" ca="1" si="15"/>
        <v/>
      </c>
      <c r="C161" s="2" t="str">
        <f ca="1">IF(E160="continue",SUM(B$8:B161),"")</f>
        <v/>
      </c>
      <c r="D161" s="1" t="str">
        <f t="shared" ca="1" si="13"/>
        <v/>
      </c>
      <c r="E161" s="13" t="str">
        <f t="shared" ca="1" si="11"/>
        <v>No ruin</v>
      </c>
      <c r="F161">
        <f t="shared" ca="1" si="12"/>
        <v>0</v>
      </c>
    </row>
    <row r="162" spans="1:6">
      <c r="A162" s="3" t="str">
        <f t="shared" ca="1" si="14"/>
        <v/>
      </c>
      <c r="B162" s="2" t="str">
        <f t="shared" ca="1" si="15"/>
        <v/>
      </c>
      <c r="C162" s="2" t="str">
        <f ca="1">IF(E161="continue",SUM(B$8:B162),"")</f>
        <v/>
      </c>
      <c r="D162" s="1" t="str">
        <f t="shared" ca="1" si="13"/>
        <v/>
      </c>
      <c r="E162" s="13" t="str">
        <f t="shared" ca="1" si="11"/>
        <v>No ruin</v>
      </c>
      <c r="F162">
        <f t="shared" ca="1" si="12"/>
        <v>0</v>
      </c>
    </row>
    <row r="163" spans="1:6">
      <c r="A163" s="3" t="str">
        <f t="shared" ca="1" si="14"/>
        <v/>
      </c>
      <c r="B163" s="2" t="str">
        <f t="shared" ca="1" si="15"/>
        <v/>
      </c>
      <c r="C163" s="2" t="str">
        <f ca="1">IF(E162="continue",SUM(B$8:B163),"")</f>
        <v/>
      </c>
      <c r="D163" s="1" t="str">
        <f t="shared" ca="1" si="13"/>
        <v/>
      </c>
      <c r="E163" s="13" t="str">
        <f t="shared" ca="1" si="11"/>
        <v>No ruin</v>
      </c>
      <c r="F163">
        <f t="shared" ca="1" si="12"/>
        <v>0</v>
      </c>
    </row>
    <row r="164" spans="1:6">
      <c r="A164" s="3" t="str">
        <f t="shared" ca="1" si="14"/>
        <v/>
      </c>
      <c r="B164" s="2" t="str">
        <f t="shared" ca="1" si="15"/>
        <v/>
      </c>
      <c r="C164" s="2" t="str">
        <f ca="1">IF(E163="continue",SUM(B$8:B164),"")</f>
        <v/>
      </c>
      <c r="D164" s="1" t="str">
        <f t="shared" ca="1" si="13"/>
        <v/>
      </c>
      <c r="E164" s="13" t="str">
        <f t="shared" ca="1" si="11"/>
        <v>No ruin</v>
      </c>
      <c r="F164">
        <f t="shared" ca="1" si="12"/>
        <v>0</v>
      </c>
    </row>
    <row r="165" spans="1:6">
      <c r="A165" s="3" t="str">
        <f t="shared" ca="1" si="14"/>
        <v/>
      </c>
      <c r="B165" s="2" t="str">
        <f t="shared" ca="1" si="15"/>
        <v/>
      </c>
      <c r="C165" s="2" t="str">
        <f ca="1">IF(E164="continue",SUM(B$8:B165),"")</f>
        <v/>
      </c>
      <c r="D165" s="1" t="str">
        <f t="shared" ca="1" si="13"/>
        <v/>
      </c>
      <c r="E165" s="13" t="str">
        <f t="shared" ca="1" si="11"/>
        <v>No ruin</v>
      </c>
      <c r="F165">
        <f t="shared" ca="1" si="12"/>
        <v>0</v>
      </c>
    </row>
    <row r="166" spans="1:6">
      <c r="A166" s="3" t="str">
        <f t="shared" ca="1" si="14"/>
        <v/>
      </c>
      <c r="B166" s="2" t="str">
        <f t="shared" ca="1" si="15"/>
        <v/>
      </c>
      <c r="C166" s="2" t="str">
        <f ca="1">IF(E165="continue",SUM(B$8:B166),"")</f>
        <v/>
      </c>
      <c r="D166" s="1" t="str">
        <f t="shared" ca="1" si="13"/>
        <v/>
      </c>
      <c r="E166" s="13" t="str">
        <f t="shared" ca="1" si="11"/>
        <v>No ruin</v>
      </c>
      <c r="F166">
        <f t="shared" ca="1" si="12"/>
        <v>0</v>
      </c>
    </row>
    <row r="167" spans="1:6">
      <c r="A167" s="3" t="str">
        <f t="shared" ca="1" si="14"/>
        <v/>
      </c>
      <c r="B167" s="2" t="str">
        <f t="shared" ca="1" si="15"/>
        <v/>
      </c>
      <c r="C167" s="2" t="str">
        <f ca="1">IF(E166="continue",SUM(B$8:B167),"")</f>
        <v/>
      </c>
      <c r="D167" s="1" t="str">
        <f t="shared" ca="1" si="13"/>
        <v/>
      </c>
      <c r="E167" s="13" t="str">
        <f t="shared" ca="1" si="11"/>
        <v>No ruin</v>
      </c>
      <c r="F167">
        <f t="shared" ca="1" si="12"/>
        <v>0</v>
      </c>
    </row>
    <row r="168" spans="1:6">
      <c r="A168" s="3" t="str">
        <f t="shared" ca="1" si="14"/>
        <v/>
      </c>
      <c r="B168" s="2" t="str">
        <f t="shared" ca="1" si="15"/>
        <v/>
      </c>
      <c r="C168" s="2" t="str">
        <f ca="1">IF(E167="continue",SUM(B$8:B168),"")</f>
        <v/>
      </c>
      <c r="D168" s="1" t="str">
        <f t="shared" ca="1" si="13"/>
        <v/>
      </c>
      <c r="E168" s="13" t="str">
        <f t="shared" ca="1" si="11"/>
        <v>No ruin</v>
      </c>
      <c r="F168">
        <f t="shared" ca="1" si="12"/>
        <v>0</v>
      </c>
    </row>
    <row r="169" spans="1:6">
      <c r="A169" s="3" t="str">
        <f t="shared" ca="1" si="14"/>
        <v/>
      </c>
      <c r="B169" s="2" t="str">
        <f t="shared" ca="1" si="15"/>
        <v/>
      </c>
      <c r="C169" s="2" t="str">
        <f ca="1">IF(E168="continue",SUM(B$8:B169),"")</f>
        <v/>
      </c>
      <c r="D169" s="1" t="str">
        <f t="shared" ca="1" si="13"/>
        <v/>
      </c>
      <c r="E169" s="13" t="str">
        <f t="shared" ca="1" si="11"/>
        <v>No ruin</v>
      </c>
      <c r="F169">
        <f t="shared" ca="1" si="12"/>
        <v>0</v>
      </c>
    </row>
    <row r="170" spans="1:6">
      <c r="A170" s="3" t="str">
        <f t="shared" ca="1" si="14"/>
        <v/>
      </c>
      <c r="B170" s="2" t="str">
        <f t="shared" ca="1" si="15"/>
        <v/>
      </c>
      <c r="C170" s="2" t="str">
        <f ca="1">IF(E169="continue",SUM(B$8:B170),"")</f>
        <v/>
      </c>
      <c r="D170" s="1" t="str">
        <f t="shared" ca="1" si="13"/>
        <v/>
      </c>
      <c r="E170" s="13" t="str">
        <f t="shared" ca="1" si="11"/>
        <v>No ruin</v>
      </c>
      <c r="F170">
        <f t="shared" ca="1" si="12"/>
        <v>0</v>
      </c>
    </row>
    <row r="171" spans="1:6">
      <c r="A171" s="3" t="str">
        <f t="shared" ca="1" si="14"/>
        <v/>
      </c>
      <c r="B171" s="2" t="str">
        <f t="shared" ca="1" si="15"/>
        <v/>
      </c>
      <c r="C171" s="2" t="str">
        <f ca="1">IF(E170="continue",SUM(B$8:B171),"")</f>
        <v/>
      </c>
      <c r="D171" s="1" t="str">
        <f t="shared" ca="1" si="13"/>
        <v/>
      </c>
      <c r="E171" s="13" t="str">
        <f t="shared" ca="1" si="11"/>
        <v>No ruin</v>
      </c>
      <c r="F171">
        <f t="shared" ca="1" si="12"/>
        <v>0</v>
      </c>
    </row>
    <row r="172" spans="1:6">
      <c r="A172" s="3" t="str">
        <f t="shared" ca="1" si="14"/>
        <v/>
      </c>
      <c r="B172" s="2" t="str">
        <f t="shared" ca="1" si="15"/>
        <v/>
      </c>
      <c r="C172" s="2" t="str">
        <f ca="1">IF(E171="continue",SUM(B$8:B172),"")</f>
        <v/>
      </c>
      <c r="D172" s="1" t="str">
        <f t="shared" ca="1" si="13"/>
        <v/>
      </c>
      <c r="E172" s="13" t="str">
        <f t="shared" ca="1" si="11"/>
        <v>No ruin</v>
      </c>
      <c r="F172">
        <f t="shared" ca="1" si="12"/>
        <v>0</v>
      </c>
    </row>
    <row r="173" spans="1:6">
      <c r="A173" s="3" t="str">
        <f t="shared" ca="1" si="14"/>
        <v/>
      </c>
      <c r="B173" s="2" t="str">
        <f t="shared" ca="1" si="15"/>
        <v/>
      </c>
      <c r="C173" s="2" t="str">
        <f ca="1">IF(E172="continue",SUM(B$8:B173),"")</f>
        <v/>
      </c>
      <c r="D173" s="1" t="str">
        <f t="shared" ca="1" si="13"/>
        <v/>
      </c>
      <c r="E173" s="13" t="str">
        <f t="shared" ca="1" si="11"/>
        <v>No ruin</v>
      </c>
      <c r="F173">
        <f t="shared" ca="1" si="12"/>
        <v>0</v>
      </c>
    </row>
    <row r="174" spans="1:6">
      <c r="A174" s="3" t="str">
        <f t="shared" ca="1" si="14"/>
        <v/>
      </c>
      <c r="B174" s="2" t="str">
        <f t="shared" ca="1" si="15"/>
        <v/>
      </c>
      <c r="C174" s="2" t="str">
        <f ca="1">IF(E173="continue",SUM(B$8:B174),"")</f>
        <v/>
      </c>
      <c r="D174" s="1" t="str">
        <f t="shared" ca="1" si="13"/>
        <v/>
      </c>
      <c r="E174" s="13" t="str">
        <f t="shared" ca="1" si="11"/>
        <v>No ruin</v>
      </c>
      <c r="F174">
        <f t="shared" ca="1" si="12"/>
        <v>0</v>
      </c>
    </row>
    <row r="175" spans="1:6">
      <c r="A175" s="3" t="str">
        <f t="shared" ca="1" si="14"/>
        <v/>
      </c>
      <c r="B175" s="2" t="str">
        <f t="shared" ca="1" si="15"/>
        <v/>
      </c>
      <c r="C175" s="2" t="str">
        <f ca="1">IF(E174="continue",SUM(B$8:B175),"")</f>
        <v/>
      </c>
      <c r="D175" s="1" t="str">
        <f t="shared" ca="1" si="13"/>
        <v/>
      </c>
      <c r="E175" s="13" t="str">
        <f t="shared" ca="1" si="11"/>
        <v>No ruin</v>
      </c>
      <c r="F175">
        <f t="shared" ca="1" si="12"/>
        <v>0</v>
      </c>
    </row>
    <row r="176" spans="1:6">
      <c r="A176" s="3" t="str">
        <f t="shared" ca="1" si="14"/>
        <v/>
      </c>
      <c r="B176" s="2" t="str">
        <f t="shared" ca="1" si="15"/>
        <v/>
      </c>
      <c r="C176" s="2" t="str">
        <f ca="1">IF(E175="continue",SUM(B$8:B176),"")</f>
        <v/>
      </c>
      <c r="D176" s="1" t="str">
        <f t="shared" ca="1" si="13"/>
        <v/>
      </c>
      <c r="E176" s="13" t="str">
        <f t="shared" ca="1" si="11"/>
        <v>No ruin</v>
      </c>
      <c r="F176">
        <f t="shared" ca="1" si="12"/>
        <v>0</v>
      </c>
    </row>
    <row r="177" spans="1:6">
      <c r="A177" s="3" t="str">
        <f t="shared" ca="1" si="14"/>
        <v/>
      </c>
      <c r="B177" s="2" t="str">
        <f t="shared" ca="1" si="15"/>
        <v/>
      </c>
      <c r="C177" s="2" t="str">
        <f ca="1">IF(E176="continue",SUM(B$8:B177),"")</f>
        <v/>
      </c>
      <c r="D177" s="1" t="str">
        <f t="shared" ca="1" si="13"/>
        <v/>
      </c>
      <c r="E177" s="13" t="str">
        <f t="shared" ca="1" si="11"/>
        <v>No ruin</v>
      </c>
      <c r="F177">
        <f t="shared" ca="1" si="12"/>
        <v>0</v>
      </c>
    </row>
    <row r="178" spans="1:6">
      <c r="A178" s="3" t="str">
        <f t="shared" ca="1" si="14"/>
        <v/>
      </c>
      <c r="B178" s="2" t="str">
        <f t="shared" ca="1" si="15"/>
        <v/>
      </c>
      <c r="C178" s="2" t="str">
        <f ca="1">IF(E177="continue",SUM(B$8:B178),"")</f>
        <v/>
      </c>
      <c r="D178" s="1" t="str">
        <f t="shared" ca="1" si="13"/>
        <v/>
      </c>
      <c r="E178" s="13" t="str">
        <f t="shared" ca="1" si="11"/>
        <v>No ruin</v>
      </c>
      <c r="F178">
        <f t="shared" ca="1" si="12"/>
        <v>0</v>
      </c>
    </row>
    <row r="179" spans="1:6">
      <c r="A179" s="3" t="str">
        <f t="shared" ca="1" si="14"/>
        <v/>
      </c>
      <c r="B179" s="2" t="str">
        <f t="shared" ca="1" si="15"/>
        <v/>
      </c>
      <c r="C179" s="2" t="str">
        <f ca="1">IF(E178="continue",SUM(B$8:B179),"")</f>
        <v/>
      </c>
      <c r="D179" s="1" t="str">
        <f t="shared" ca="1" si="13"/>
        <v/>
      </c>
      <c r="E179" s="13" t="str">
        <f t="shared" ca="1" si="11"/>
        <v>No ruin</v>
      </c>
      <c r="F179">
        <f t="shared" ca="1" si="12"/>
        <v>0</v>
      </c>
    </row>
    <row r="180" spans="1:6">
      <c r="A180" s="3" t="str">
        <f t="shared" ca="1" si="14"/>
        <v/>
      </c>
      <c r="B180" s="2" t="str">
        <f t="shared" ca="1" si="15"/>
        <v/>
      </c>
      <c r="C180" s="2" t="str">
        <f ca="1">IF(E179="continue",SUM(B$8:B180),"")</f>
        <v/>
      </c>
      <c r="D180" s="1" t="str">
        <f t="shared" ca="1" si="13"/>
        <v/>
      </c>
      <c r="E180" s="13" t="str">
        <f t="shared" ca="1" si="11"/>
        <v>No ruin</v>
      </c>
      <c r="F180">
        <f t="shared" ca="1" si="12"/>
        <v>0</v>
      </c>
    </row>
    <row r="181" spans="1:6">
      <c r="A181" s="3" t="str">
        <f t="shared" ca="1" si="14"/>
        <v/>
      </c>
      <c r="B181" s="2" t="str">
        <f t="shared" ca="1" si="15"/>
        <v/>
      </c>
      <c r="C181" s="2" t="str">
        <f ca="1">IF(E180="continue",SUM(B$8:B181),"")</f>
        <v/>
      </c>
      <c r="D181" s="1" t="str">
        <f t="shared" ca="1" si="13"/>
        <v/>
      </c>
      <c r="E181" s="13" t="str">
        <f t="shared" ca="1" si="11"/>
        <v>No ruin</v>
      </c>
      <c r="F181">
        <f t="shared" ca="1" si="12"/>
        <v>0</v>
      </c>
    </row>
    <row r="182" spans="1:6">
      <c r="A182" s="3" t="str">
        <f t="shared" ca="1" si="14"/>
        <v/>
      </c>
      <c r="B182" s="2" t="str">
        <f t="shared" ca="1" si="15"/>
        <v/>
      </c>
      <c r="C182" s="2" t="str">
        <f ca="1">IF(E181="continue",SUM(B$8:B182),"")</f>
        <v/>
      </c>
      <c r="D182" s="1" t="str">
        <f t="shared" ca="1" si="13"/>
        <v/>
      </c>
      <c r="E182" s="13" t="str">
        <f t="shared" ca="1" si="11"/>
        <v>No ruin</v>
      </c>
      <c r="F182">
        <f t="shared" ca="1" si="12"/>
        <v>0</v>
      </c>
    </row>
    <row r="183" spans="1:6">
      <c r="A183" s="3" t="str">
        <f t="shared" ca="1" si="14"/>
        <v/>
      </c>
      <c r="B183" s="2" t="str">
        <f t="shared" ca="1" si="15"/>
        <v/>
      </c>
      <c r="C183" s="2" t="str">
        <f ca="1">IF(E182="continue",SUM(B$8:B183),"")</f>
        <v/>
      </c>
      <c r="D183" s="1" t="str">
        <f t="shared" ca="1" si="13"/>
        <v/>
      </c>
      <c r="E183" s="13" t="str">
        <f t="shared" ca="1" si="11"/>
        <v>No ruin</v>
      </c>
      <c r="F183">
        <f t="shared" ca="1" si="12"/>
        <v>0</v>
      </c>
    </row>
    <row r="184" spans="1:6">
      <c r="A184" s="3" t="str">
        <f t="shared" ca="1" si="14"/>
        <v/>
      </c>
      <c r="B184" s="2" t="str">
        <f t="shared" ca="1" si="15"/>
        <v/>
      </c>
      <c r="C184" s="2" t="str">
        <f ca="1">IF(E183="continue",SUM(B$8:B184),"")</f>
        <v/>
      </c>
      <c r="D184" s="1" t="str">
        <f t="shared" ca="1" si="13"/>
        <v/>
      </c>
      <c r="E184" s="13" t="str">
        <f t="shared" ca="1" si="11"/>
        <v>No ruin</v>
      </c>
      <c r="F184">
        <f t="shared" ca="1" si="12"/>
        <v>0</v>
      </c>
    </row>
    <row r="185" spans="1:6">
      <c r="A185" s="3" t="str">
        <f t="shared" ca="1" si="14"/>
        <v/>
      </c>
      <c r="B185" s="2" t="str">
        <f t="shared" ca="1" si="15"/>
        <v/>
      </c>
      <c r="C185" s="2" t="str">
        <f ca="1">IF(E184="continue",SUM(B$8:B185),"")</f>
        <v/>
      </c>
      <c r="D185" s="1" t="str">
        <f t="shared" ca="1" si="13"/>
        <v/>
      </c>
      <c r="E185" s="13" t="str">
        <f t="shared" ca="1" si="11"/>
        <v>No ruin</v>
      </c>
      <c r="F185">
        <f t="shared" ca="1" si="12"/>
        <v>0</v>
      </c>
    </row>
    <row r="186" spans="1:6">
      <c r="A186" s="3" t="str">
        <f t="shared" ca="1" si="14"/>
        <v/>
      </c>
      <c r="B186" s="2" t="str">
        <f t="shared" ca="1" si="15"/>
        <v/>
      </c>
      <c r="C186" s="2" t="str">
        <f ca="1">IF(E185="continue",SUM(B$8:B186),"")</f>
        <v/>
      </c>
      <c r="D186" s="1" t="str">
        <f t="shared" ca="1" si="13"/>
        <v/>
      </c>
      <c r="E186" s="13" t="str">
        <f t="shared" ca="1" si="11"/>
        <v>No ruin</v>
      </c>
      <c r="F186">
        <f t="shared" ca="1" si="12"/>
        <v>0</v>
      </c>
    </row>
    <row r="187" spans="1:6">
      <c r="A187" s="3" t="str">
        <f t="shared" ca="1" si="14"/>
        <v/>
      </c>
      <c r="B187" s="2" t="str">
        <f t="shared" ca="1" si="15"/>
        <v/>
      </c>
      <c r="C187" s="2" t="str">
        <f ca="1">IF(E186="continue",SUM(B$8:B187),"")</f>
        <v/>
      </c>
      <c r="D187" s="1" t="str">
        <f t="shared" ca="1" si="13"/>
        <v/>
      </c>
      <c r="E187" s="13" t="str">
        <f t="shared" ca="1" si="11"/>
        <v>No ruin</v>
      </c>
      <c r="F187">
        <f t="shared" ca="1" si="12"/>
        <v>0</v>
      </c>
    </row>
    <row r="188" spans="1:6">
      <c r="A188" s="3" t="str">
        <f t="shared" ca="1" si="14"/>
        <v/>
      </c>
      <c r="B188" s="2" t="str">
        <f t="shared" ca="1" si="15"/>
        <v/>
      </c>
      <c r="C188" s="2" t="str">
        <f ca="1">IF(E187="continue",SUM(B$8:B188),"")</f>
        <v/>
      </c>
      <c r="D188" s="1" t="str">
        <f t="shared" ca="1" si="13"/>
        <v/>
      </c>
      <c r="E188" s="13" t="str">
        <f t="shared" ca="1" si="11"/>
        <v>No ruin</v>
      </c>
      <c r="F188">
        <f t="shared" ca="1" si="12"/>
        <v>0</v>
      </c>
    </row>
    <row r="189" spans="1:6">
      <c r="A189" s="3" t="str">
        <f t="shared" ca="1" si="14"/>
        <v/>
      </c>
      <c r="B189" s="2" t="str">
        <f t="shared" ca="1" si="15"/>
        <v/>
      </c>
      <c r="C189" s="2" t="str">
        <f ca="1">IF(E188="continue",SUM(B$8:B189),"")</f>
        <v/>
      </c>
      <c r="D189" s="1" t="str">
        <f t="shared" ca="1" si="13"/>
        <v/>
      </c>
      <c r="E189" s="13" t="str">
        <f t="shared" ca="1" si="11"/>
        <v>No ruin</v>
      </c>
      <c r="F189">
        <f t="shared" ca="1" si="12"/>
        <v>0</v>
      </c>
    </row>
    <row r="190" spans="1:6">
      <c r="A190" s="3" t="str">
        <f t="shared" ca="1" si="14"/>
        <v/>
      </c>
      <c r="B190" s="2" t="str">
        <f t="shared" ca="1" si="15"/>
        <v/>
      </c>
      <c r="C190" s="2" t="str">
        <f ca="1">IF(E189="continue",SUM(B$8:B190),"")</f>
        <v/>
      </c>
      <c r="D190" s="1" t="str">
        <f t="shared" ca="1" si="13"/>
        <v/>
      </c>
      <c r="E190" s="13" t="str">
        <f t="shared" ca="1" si="11"/>
        <v>No ruin</v>
      </c>
      <c r="F190">
        <f t="shared" ca="1" si="12"/>
        <v>0</v>
      </c>
    </row>
    <row r="191" spans="1:6">
      <c r="A191" s="3" t="str">
        <f t="shared" ca="1" si="14"/>
        <v/>
      </c>
      <c r="B191" s="2" t="str">
        <f t="shared" ca="1" si="15"/>
        <v/>
      </c>
      <c r="C191" s="2" t="str">
        <f ca="1">IF(E190="continue",SUM(B$8:B191),"")</f>
        <v/>
      </c>
      <c r="D191" s="1" t="str">
        <f t="shared" ca="1" si="13"/>
        <v/>
      </c>
      <c r="E191" s="13" t="str">
        <f t="shared" ca="1" si="11"/>
        <v>No ruin</v>
      </c>
      <c r="F191">
        <f t="shared" ca="1" si="12"/>
        <v>0</v>
      </c>
    </row>
    <row r="192" spans="1:6">
      <c r="A192" s="3" t="str">
        <f t="shared" ca="1" si="14"/>
        <v/>
      </c>
      <c r="B192" s="2" t="str">
        <f t="shared" ca="1" si="15"/>
        <v/>
      </c>
      <c r="C192" s="2" t="str">
        <f ca="1">IF(E191="continue",SUM(B$8:B192),"")</f>
        <v/>
      </c>
      <c r="D192" s="1" t="str">
        <f t="shared" ca="1" si="13"/>
        <v/>
      </c>
      <c r="E192" s="13" t="str">
        <f t="shared" ca="1" si="11"/>
        <v>No ruin</v>
      </c>
      <c r="F192">
        <f t="shared" ca="1" si="12"/>
        <v>0</v>
      </c>
    </row>
    <row r="193" spans="1:6">
      <c r="A193" s="3" t="str">
        <f t="shared" ca="1" si="14"/>
        <v/>
      </c>
      <c r="B193" s="2" t="str">
        <f t="shared" ca="1" si="15"/>
        <v/>
      </c>
      <c r="C193" s="2" t="str">
        <f ca="1">IF(E192="continue",SUM(B$8:B193),"")</f>
        <v/>
      </c>
      <c r="D193" s="1" t="str">
        <f t="shared" ca="1" si="13"/>
        <v/>
      </c>
      <c r="E193" s="13" t="str">
        <f t="shared" ca="1" si="11"/>
        <v>No ruin</v>
      </c>
      <c r="F193">
        <f t="shared" ca="1" si="12"/>
        <v>0</v>
      </c>
    </row>
    <row r="194" spans="1:6">
      <c r="A194" s="3" t="str">
        <f t="shared" ca="1" si="14"/>
        <v/>
      </c>
      <c r="B194" s="2" t="str">
        <f t="shared" ca="1" si="15"/>
        <v/>
      </c>
      <c r="C194" s="2" t="str">
        <f ca="1">IF(E193="continue",SUM(B$8:B194),"")</f>
        <v/>
      </c>
      <c r="D194" s="1" t="str">
        <f t="shared" ca="1" si="13"/>
        <v/>
      </c>
      <c r="E194" s="13" t="str">
        <f t="shared" ca="1" si="11"/>
        <v>No ruin</v>
      </c>
      <c r="F194">
        <f t="shared" ca="1" si="12"/>
        <v>0</v>
      </c>
    </row>
    <row r="195" spans="1:6">
      <c r="A195" s="3" t="str">
        <f t="shared" ca="1" si="14"/>
        <v/>
      </c>
      <c r="B195" s="2" t="str">
        <f t="shared" ca="1" si="15"/>
        <v/>
      </c>
      <c r="C195" s="2" t="str">
        <f ca="1">IF(E194="continue",SUM(B$8:B195),"")</f>
        <v/>
      </c>
      <c r="D195" s="1" t="str">
        <f t="shared" ca="1" si="13"/>
        <v/>
      </c>
      <c r="E195" s="13" t="str">
        <f t="shared" ca="1" si="11"/>
        <v>No ruin</v>
      </c>
      <c r="F195">
        <f t="shared" ca="1" si="12"/>
        <v>0</v>
      </c>
    </row>
    <row r="196" spans="1:6">
      <c r="A196" s="3" t="str">
        <f t="shared" ca="1" si="14"/>
        <v/>
      </c>
      <c r="B196" s="2" t="str">
        <f t="shared" ca="1" si="15"/>
        <v/>
      </c>
      <c r="C196" s="2" t="str">
        <f ca="1">IF(E195="continue",SUM(B$8:B196),"")</f>
        <v/>
      </c>
      <c r="D196" s="1" t="str">
        <f t="shared" ca="1" si="13"/>
        <v/>
      </c>
      <c r="E196" s="13" t="str">
        <f t="shared" ca="1" si="11"/>
        <v>No ruin</v>
      </c>
      <c r="F196">
        <f t="shared" ca="1" si="12"/>
        <v>0</v>
      </c>
    </row>
    <row r="197" spans="1:6">
      <c r="A197" s="3" t="str">
        <f t="shared" ca="1" si="14"/>
        <v/>
      </c>
      <c r="B197" s="2" t="str">
        <f t="shared" ca="1" si="15"/>
        <v/>
      </c>
      <c r="C197" s="2" t="str">
        <f ca="1">IF(E196="continue",SUM(B$8:B197),"")</f>
        <v/>
      </c>
      <c r="D197" s="1" t="str">
        <f t="shared" ca="1" si="13"/>
        <v/>
      </c>
      <c r="E197" s="13" t="str">
        <f t="shared" ca="1" si="11"/>
        <v>No ruin</v>
      </c>
      <c r="F197">
        <f t="shared" ca="1" si="12"/>
        <v>0</v>
      </c>
    </row>
    <row r="198" spans="1:6">
      <c r="A198" s="3" t="str">
        <f t="shared" ca="1" si="14"/>
        <v/>
      </c>
      <c r="B198" s="2" t="str">
        <f t="shared" ca="1" si="15"/>
        <v/>
      </c>
      <c r="C198" s="2" t="str">
        <f ca="1">IF(E197="continue",SUM(B$8:B198),"")</f>
        <v/>
      </c>
      <c r="D198" s="1" t="str">
        <f t="shared" ca="1" si="13"/>
        <v/>
      </c>
      <c r="E198" s="13" t="str">
        <f t="shared" ca="1" si="11"/>
        <v>No ruin</v>
      </c>
      <c r="F198">
        <f t="shared" ca="1" si="12"/>
        <v>0</v>
      </c>
    </row>
    <row r="199" spans="1:6">
      <c r="A199" s="3" t="str">
        <f t="shared" ca="1" si="14"/>
        <v/>
      </c>
      <c r="B199" s="2" t="str">
        <f t="shared" ca="1" si="15"/>
        <v/>
      </c>
      <c r="C199" s="2" t="str">
        <f ca="1">IF(E198="continue",SUM(B$8:B199),"")</f>
        <v/>
      </c>
      <c r="D199" s="1" t="str">
        <f t="shared" ca="1" si="13"/>
        <v/>
      </c>
      <c r="E199" s="13" t="str">
        <f t="shared" ca="1" si="11"/>
        <v>No ruin</v>
      </c>
      <c r="F199">
        <f t="shared" ca="1" si="12"/>
        <v>0</v>
      </c>
    </row>
    <row r="200" spans="1:6">
      <c r="A200" s="3" t="str">
        <f t="shared" ca="1" si="14"/>
        <v/>
      </c>
      <c r="B200" s="2" t="str">
        <f t="shared" ca="1" si="15"/>
        <v/>
      </c>
      <c r="C200" s="2" t="str">
        <f ca="1">IF(E199="continue",SUM(B$8:B200),"")</f>
        <v/>
      </c>
      <c r="D200" s="1" t="str">
        <f t="shared" ca="1" si="13"/>
        <v/>
      </c>
      <c r="E200" s="13" t="str">
        <f t="shared" ca="1" si="11"/>
        <v>No ruin</v>
      </c>
      <c r="F200">
        <f t="shared" ca="1" si="12"/>
        <v>0</v>
      </c>
    </row>
    <row r="201" spans="1:6">
      <c r="A201" s="3" t="str">
        <f t="shared" ca="1" si="14"/>
        <v/>
      </c>
      <c r="B201" s="2" t="str">
        <f t="shared" ca="1" si="15"/>
        <v/>
      </c>
      <c r="C201" s="2" t="str">
        <f ca="1">IF(E200="continue",SUM(B$8:B201),"")</f>
        <v/>
      </c>
      <c r="D201" s="1" t="str">
        <f t="shared" ca="1" si="13"/>
        <v/>
      </c>
      <c r="E201" s="13" t="str">
        <f t="shared" ca="1" si="11"/>
        <v>No ruin</v>
      </c>
      <c r="F201">
        <f t="shared" ca="1" si="12"/>
        <v>0</v>
      </c>
    </row>
    <row r="202" spans="1:6">
      <c r="A202" s="3" t="str">
        <f t="shared" ca="1" si="14"/>
        <v/>
      </c>
      <c r="B202" s="2" t="str">
        <f t="shared" ca="1" si="15"/>
        <v/>
      </c>
      <c r="C202" s="2" t="str">
        <f ca="1">IF(E201="continue",SUM(B$8:B202),"")</f>
        <v/>
      </c>
      <c r="D202" s="1" t="str">
        <f t="shared" ca="1" si="13"/>
        <v/>
      </c>
      <c r="E202" s="13" t="str">
        <f t="shared" ref="E202:E265" ca="1" si="16">IF(A202&gt;G$1,"No ruin",IF(AND(A202&lt;=G$1,C202&gt;J$4+D202),"RUIN","continue"))</f>
        <v>No ruin</v>
      </c>
      <c r="F202">
        <f t="shared" ref="F202:F265" ca="1" si="17">IF(E202="RUIN",1,0)</f>
        <v>0</v>
      </c>
    </row>
    <row r="203" spans="1:6">
      <c r="A203" s="3" t="str">
        <f t="shared" ca="1" si="14"/>
        <v/>
      </c>
      <c r="B203" s="2" t="str">
        <f t="shared" ca="1" si="15"/>
        <v/>
      </c>
      <c r="C203" s="2" t="str">
        <f ca="1">IF(E202="continue",SUM(B$8:B203),"")</f>
        <v/>
      </c>
      <c r="D203" s="1" t="str">
        <f t="shared" ref="D203:D266" ca="1" si="18">IF(E202="continue",(1+J$1)*(1/O$3)*M$3*A203,"")</f>
        <v/>
      </c>
      <c r="E203" s="13" t="str">
        <f t="shared" ca="1" si="16"/>
        <v>No ruin</v>
      </c>
      <c r="F203">
        <f t="shared" ca="1" si="17"/>
        <v>0</v>
      </c>
    </row>
    <row r="204" spans="1:6">
      <c r="A204" s="3" t="str">
        <f t="shared" ref="A204:A267" ca="1" si="19">IF(E203="continue",-LN(1-RAND())*O$3+A203,"")</f>
        <v/>
      </c>
      <c r="B204" s="2" t="str">
        <f t="shared" ref="B204:B267" ca="1" si="20">IF(E203="continue",-LN(1-RAND())*M$3,"")</f>
        <v/>
      </c>
      <c r="C204" s="2" t="str">
        <f ca="1">IF(E203="continue",SUM(B$8:B204),"")</f>
        <v/>
      </c>
      <c r="D204" s="1" t="str">
        <f t="shared" ca="1" si="18"/>
        <v/>
      </c>
      <c r="E204" s="13" t="str">
        <f t="shared" ca="1" si="16"/>
        <v>No ruin</v>
      </c>
      <c r="F204">
        <f t="shared" ca="1" si="17"/>
        <v>0</v>
      </c>
    </row>
    <row r="205" spans="1:6">
      <c r="A205" s="3" t="str">
        <f t="shared" ca="1" si="19"/>
        <v/>
      </c>
      <c r="B205" s="2" t="str">
        <f t="shared" ca="1" si="20"/>
        <v/>
      </c>
      <c r="C205" s="2" t="str">
        <f ca="1">IF(E204="continue",SUM(B$8:B205),"")</f>
        <v/>
      </c>
      <c r="D205" s="1" t="str">
        <f t="shared" ca="1" si="18"/>
        <v/>
      </c>
      <c r="E205" s="13" t="str">
        <f t="shared" ca="1" si="16"/>
        <v>No ruin</v>
      </c>
      <c r="F205">
        <f t="shared" ca="1" si="17"/>
        <v>0</v>
      </c>
    </row>
    <row r="206" spans="1:6">
      <c r="A206" s="3" t="str">
        <f t="shared" ca="1" si="19"/>
        <v/>
      </c>
      <c r="B206" s="2" t="str">
        <f t="shared" ca="1" si="20"/>
        <v/>
      </c>
      <c r="C206" s="2" t="str">
        <f ca="1">IF(E205="continue",SUM(B$8:B206),"")</f>
        <v/>
      </c>
      <c r="D206" s="1" t="str">
        <f t="shared" ca="1" si="18"/>
        <v/>
      </c>
      <c r="E206" s="13" t="str">
        <f t="shared" ca="1" si="16"/>
        <v>No ruin</v>
      </c>
      <c r="F206">
        <f t="shared" ca="1" si="17"/>
        <v>0</v>
      </c>
    </row>
    <row r="207" spans="1:6">
      <c r="A207" s="3" t="str">
        <f t="shared" ca="1" si="19"/>
        <v/>
      </c>
      <c r="B207" s="2" t="str">
        <f t="shared" ca="1" si="20"/>
        <v/>
      </c>
      <c r="C207" s="2" t="str">
        <f ca="1">IF(E206="continue",SUM(B$8:B207),"")</f>
        <v/>
      </c>
      <c r="D207" s="1" t="str">
        <f t="shared" ca="1" si="18"/>
        <v/>
      </c>
      <c r="E207" s="13" t="str">
        <f t="shared" ca="1" si="16"/>
        <v>No ruin</v>
      </c>
      <c r="F207">
        <f t="shared" ca="1" si="17"/>
        <v>0</v>
      </c>
    </row>
    <row r="208" spans="1:6">
      <c r="A208" s="3" t="str">
        <f t="shared" ca="1" si="19"/>
        <v/>
      </c>
      <c r="B208" s="2" t="str">
        <f t="shared" ca="1" si="20"/>
        <v/>
      </c>
      <c r="C208" s="2" t="str">
        <f ca="1">IF(E207="continue",SUM(B$8:B208),"")</f>
        <v/>
      </c>
      <c r="D208" s="1" t="str">
        <f t="shared" ca="1" si="18"/>
        <v/>
      </c>
      <c r="E208" s="13" t="str">
        <f t="shared" ca="1" si="16"/>
        <v>No ruin</v>
      </c>
      <c r="F208">
        <f t="shared" ca="1" si="17"/>
        <v>0</v>
      </c>
    </row>
    <row r="209" spans="1:6">
      <c r="A209" s="3" t="str">
        <f t="shared" ca="1" si="19"/>
        <v/>
      </c>
      <c r="B209" s="2" t="str">
        <f t="shared" ca="1" si="20"/>
        <v/>
      </c>
      <c r="C209" s="2" t="str">
        <f ca="1">IF(E208="continue",SUM(B$8:B209),"")</f>
        <v/>
      </c>
      <c r="D209" s="1" t="str">
        <f t="shared" ca="1" si="18"/>
        <v/>
      </c>
      <c r="E209" s="13" t="str">
        <f t="shared" ca="1" si="16"/>
        <v>No ruin</v>
      </c>
      <c r="F209">
        <f t="shared" ca="1" si="17"/>
        <v>0</v>
      </c>
    </row>
    <row r="210" spans="1:6">
      <c r="A210" s="3" t="str">
        <f t="shared" ca="1" si="19"/>
        <v/>
      </c>
      <c r="B210" s="2" t="str">
        <f t="shared" ca="1" si="20"/>
        <v/>
      </c>
      <c r="C210" s="2" t="str">
        <f ca="1">IF(E209="continue",SUM(B$8:B210),"")</f>
        <v/>
      </c>
      <c r="D210" s="1" t="str">
        <f t="shared" ca="1" si="18"/>
        <v/>
      </c>
      <c r="E210" s="13" t="str">
        <f t="shared" ca="1" si="16"/>
        <v>No ruin</v>
      </c>
      <c r="F210">
        <f t="shared" ca="1" si="17"/>
        <v>0</v>
      </c>
    </row>
    <row r="211" spans="1:6">
      <c r="A211" s="3" t="str">
        <f t="shared" ca="1" si="19"/>
        <v/>
      </c>
      <c r="B211" s="2" t="str">
        <f t="shared" ca="1" si="20"/>
        <v/>
      </c>
      <c r="C211" s="2" t="str">
        <f ca="1">IF(E210="continue",SUM(B$8:B211),"")</f>
        <v/>
      </c>
      <c r="D211" s="1" t="str">
        <f t="shared" ca="1" si="18"/>
        <v/>
      </c>
      <c r="E211" s="13" t="str">
        <f t="shared" ca="1" si="16"/>
        <v>No ruin</v>
      </c>
      <c r="F211">
        <f t="shared" ca="1" si="17"/>
        <v>0</v>
      </c>
    </row>
    <row r="212" spans="1:6">
      <c r="A212" s="3" t="str">
        <f t="shared" ca="1" si="19"/>
        <v/>
      </c>
      <c r="B212" s="2" t="str">
        <f t="shared" ca="1" si="20"/>
        <v/>
      </c>
      <c r="C212" s="2" t="str">
        <f ca="1">IF(E211="continue",SUM(B$8:B212),"")</f>
        <v/>
      </c>
      <c r="D212" s="1" t="str">
        <f t="shared" ca="1" si="18"/>
        <v/>
      </c>
      <c r="E212" s="13" t="str">
        <f t="shared" ca="1" si="16"/>
        <v>No ruin</v>
      </c>
      <c r="F212">
        <f t="shared" ca="1" si="17"/>
        <v>0</v>
      </c>
    </row>
    <row r="213" spans="1:6">
      <c r="A213" s="3" t="str">
        <f t="shared" ca="1" si="19"/>
        <v/>
      </c>
      <c r="B213" s="2" t="str">
        <f t="shared" ca="1" si="20"/>
        <v/>
      </c>
      <c r="C213" s="2" t="str">
        <f ca="1">IF(E212="continue",SUM(B$8:B213),"")</f>
        <v/>
      </c>
      <c r="D213" s="1" t="str">
        <f t="shared" ca="1" si="18"/>
        <v/>
      </c>
      <c r="E213" s="13" t="str">
        <f t="shared" ca="1" si="16"/>
        <v>No ruin</v>
      </c>
      <c r="F213">
        <f t="shared" ca="1" si="17"/>
        <v>0</v>
      </c>
    </row>
    <row r="214" spans="1:6">
      <c r="A214" s="3" t="str">
        <f t="shared" ca="1" si="19"/>
        <v/>
      </c>
      <c r="B214" s="2" t="str">
        <f t="shared" ca="1" si="20"/>
        <v/>
      </c>
      <c r="C214" s="2" t="str">
        <f ca="1">IF(E213="continue",SUM(B$8:B214),"")</f>
        <v/>
      </c>
      <c r="D214" s="1" t="str">
        <f t="shared" ca="1" si="18"/>
        <v/>
      </c>
      <c r="E214" s="13" t="str">
        <f t="shared" ca="1" si="16"/>
        <v>No ruin</v>
      </c>
      <c r="F214">
        <f t="shared" ca="1" si="17"/>
        <v>0</v>
      </c>
    </row>
    <row r="215" spans="1:6">
      <c r="A215" s="3" t="str">
        <f t="shared" ca="1" si="19"/>
        <v/>
      </c>
      <c r="B215" s="2" t="str">
        <f t="shared" ca="1" si="20"/>
        <v/>
      </c>
      <c r="C215" s="2" t="str">
        <f ca="1">IF(E214="continue",SUM(B$8:B215),"")</f>
        <v/>
      </c>
      <c r="D215" s="1" t="str">
        <f t="shared" ca="1" si="18"/>
        <v/>
      </c>
      <c r="E215" s="13" t="str">
        <f t="shared" ca="1" si="16"/>
        <v>No ruin</v>
      </c>
      <c r="F215">
        <f t="shared" ca="1" si="17"/>
        <v>0</v>
      </c>
    </row>
    <row r="216" spans="1:6">
      <c r="A216" s="3" t="str">
        <f t="shared" ca="1" si="19"/>
        <v/>
      </c>
      <c r="B216" s="2" t="str">
        <f t="shared" ca="1" si="20"/>
        <v/>
      </c>
      <c r="C216" s="2" t="str">
        <f ca="1">IF(E215="continue",SUM(B$8:B216),"")</f>
        <v/>
      </c>
      <c r="D216" s="1" t="str">
        <f t="shared" ca="1" si="18"/>
        <v/>
      </c>
      <c r="E216" s="13" t="str">
        <f t="shared" ca="1" si="16"/>
        <v>No ruin</v>
      </c>
      <c r="F216">
        <f t="shared" ca="1" si="17"/>
        <v>0</v>
      </c>
    </row>
    <row r="217" spans="1:6">
      <c r="A217" s="3" t="str">
        <f t="shared" ca="1" si="19"/>
        <v/>
      </c>
      <c r="B217" s="2" t="str">
        <f t="shared" ca="1" si="20"/>
        <v/>
      </c>
      <c r="C217" s="2" t="str">
        <f ca="1">IF(E216="continue",SUM(B$8:B217),"")</f>
        <v/>
      </c>
      <c r="D217" s="1" t="str">
        <f t="shared" ca="1" si="18"/>
        <v/>
      </c>
      <c r="E217" s="13" t="str">
        <f t="shared" ca="1" si="16"/>
        <v>No ruin</v>
      </c>
      <c r="F217">
        <f t="shared" ca="1" si="17"/>
        <v>0</v>
      </c>
    </row>
    <row r="218" spans="1:6">
      <c r="A218" s="3" t="str">
        <f t="shared" ca="1" si="19"/>
        <v/>
      </c>
      <c r="B218" s="2" t="str">
        <f t="shared" ca="1" si="20"/>
        <v/>
      </c>
      <c r="C218" s="2" t="str">
        <f ca="1">IF(E217="continue",SUM(B$8:B218),"")</f>
        <v/>
      </c>
      <c r="D218" s="1" t="str">
        <f t="shared" ca="1" si="18"/>
        <v/>
      </c>
      <c r="E218" s="13" t="str">
        <f t="shared" ca="1" si="16"/>
        <v>No ruin</v>
      </c>
      <c r="F218">
        <f t="shared" ca="1" si="17"/>
        <v>0</v>
      </c>
    </row>
    <row r="219" spans="1:6">
      <c r="A219" s="3" t="str">
        <f t="shared" ca="1" si="19"/>
        <v/>
      </c>
      <c r="B219" s="2" t="str">
        <f t="shared" ca="1" si="20"/>
        <v/>
      </c>
      <c r="C219" s="2" t="str">
        <f ca="1">IF(E218="continue",SUM(B$8:B219),"")</f>
        <v/>
      </c>
      <c r="D219" s="1" t="str">
        <f t="shared" ca="1" si="18"/>
        <v/>
      </c>
      <c r="E219" s="13" t="str">
        <f t="shared" ca="1" si="16"/>
        <v>No ruin</v>
      </c>
      <c r="F219">
        <f t="shared" ca="1" si="17"/>
        <v>0</v>
      </c>
    </row>
    <row r="220" spans="1:6">
      <c r="A220" s="3" t="str">
        <f t="shared" ca="1" si="19"/>
        <v/>
      </c>
      <c r="B220" s="2" t="str">
        <f t="shared" ca="1" si="20"/>
        <v/>
      </c>
      <c r="C220" s="2" t="str">
        <f ca="1">IF(E219="continue",SUM(B$8:B220),"")</f>
        <v/>
      </c>
      <c r="D220" s="1" t="str">
        <f t="shared" ca="1" si="18"/>
        <v/>
      </c>
      <c r="E220" s="13" t="str">
        <f t="shared" ca="1" si="16"/>
        <v>No ruin</v>
      </c>
      <c r="F220">
        <f t="shared" ca="1" si="17"/>
        <v>0</v>
      </c>
    </row>
    <row r="221" spans="1:6">
      <c r="A221" s="3" t="str">
        <f t="shared" ca="1" si="19"/>
        <v/>
      </c>
      <c r="B221" s="2" t="str">
        <f t="shared" ca="1" si="20"/>
        <v/>
      </c>
      <c r="C221" s="2" t="str">
        <f ca="1">IF(E220="continue",SUM(B$8:B221),"")</f>
        <v/>
      </c>
      <c r="D221" s="1" t="str">
        <f t="shared" ca="1" si="18"/>
        <v/>
      </c>
      <c r="E221" s="13" t="str">
        <f t="shared" ca="1" si="16"/>
        <v>No ruin</v>
      </c>
      <c r="F221">
        <f t="shared" ca="1" si="17"/>
        <v>0</v>
      </c>
    </row>
    <row r="222" spans="1:6">
      <c r="A222" s="3" t="str">
        <f t="shared" ca="1" si="19"/>
        <v/>
      </c>
      <c r="B222" s="2" t="str">
        <f t="shared" ca="1" si="20"/>
        <v/>
      </c>
      <c r="C222" s="2" t="str">
        <f ca="1">IF(E221="continue",SUM(B$8:B222),"")</f>
        <v/>
      </c>
      <c r="D222" s="1" t="str">
        <f t="shared" ca="1" si="18"/>
        <v/>
      </c>
      <c r="E222" s="13" t="str">
        <f t="shared" ca="1" si="16"/>
        <v>No ruin</v>
      </c>
      <c r="F222">
        <f t="shared" ca="1" si="17"/>
        <v>0</v>
      </c>
    </row>
    <row r="223" spans="1:6">
      <c r="A223" s="3" t="str">
        <f t="shared" ca="1" si="19"/>
        <v/>
      </c>
      <c r="B223" s="2" t="str">
        <f t="shared" ca="1" si="20"/>
        <v/>
      </c>
      <c r="C223" s="2" t="str">
        <f ca="1">IF(E222="continue",SUM(B$8:B223),"")</f>
        <v/>
      </c>
      <c r="D223" s="1" t="str">
        <f t="shared" ca="1" si="18"/>
        <v/>
      </c>
      <c r="E223" s="13" t="str">
        <f t="shared" ca="1" si="16"/>
        <v>No ruin</v>
      </c>
      <c r="F223">
        <f t="shared" ca="1" si="17"/>
        <v>0</v>
      </c>
    </row>
    <row r="224" spans="1:6">
      <c r="A224" s="3" t="str">
        <f t="shared" ca="1" si="19"/>
        <v/>
      </c>
      <c r="B224" s="2" t="str">
        <f t="shared" ca="1" si="20"/>
        <v/>
      </c>
      <c r="C224" s="2" t="str">
        <f ca="1">IF(E223="continue",SUM(B$8:B224),"")</f>
        <v/>
      </c>
      <c r="D224" s="1" t="str">
        <f t="shared" ca="1" si="18"/>
        <v/>
      </c>
      <c r="E224" s="13" t="str">
        <f t="shared" ca="1" si="16"/>
        <v>No ruin</v>
      </c>
      <c r="F224">
        <f t="shared" ca="1" si="17"/>
        <v>0</v>
      </c>
    </row>
    <row r="225" spans="1:6">
      <c r="A225" s="3" t="str">
        <f t="shared" ca="1" si="19"/>
        <v/>
      </c>
      <c r="B225" s="2" t="str">
        <f t="shared" ca="1" si="20"/>
        <v/>
      </c>
      <c r="C225" s="2" t="str">
        <f ca="1">IF(E224="continue",SUM(B$8:B225),"")</f>
        <v/>
      </c>
      <c r="D225" s="1" t="str">
        <f t="shared" ca="1" si="18"/>
        <v/>
      </c>
      <c r="E225" s="13" t="str">
        <f t="shared" ca="1" si="16"/>
        <v>No ruin</v>
      </c>
      <c r="F225">
        <f t="shared" ca="1" si="17"/>
        <v>0</v>
      </c>
    </row>
    <row r="226" spans="1:6">
      <c r="A226" s="3" t="str">
        <f t="shared" ca="1" si="19"/>
        <v/>
      </c>
      <c r="B226" s="2" t="str">
        <f t="shared" ca="1" si="20"/>
        <v/>
      </c>
      <c r="C226" s="2" t="str">
        <f ca="1">IF(E225="continue",SUM(B$8:B226),"")</f>
        <v/>
      </c>
      <c r="D226" s="1" t="str">
        <f t="shared" ca="1" si="18"/>
        <v/>
      </c>
      <c r="E226" s="13" t="str">
        <f t="shared" ca="1" si="16"/>
        <v>No ruin</v>
      </c>
      <c r="F226">
        <f t="shared" ca="1" si="17"/>
        <v>0</v>
      </c>
    </row>
    <row r="227" spans="1:6">
      <c r="A227" s="3" t="str">
        <f t="shared" ca="1" si="19"/>
        <v/>
      </c>
      <c r="B227" s="2" t="str">
        <f t="shared" ca="1" si="20"/>
        <v/>
      </c>
      <c r="C227" s="2" t="str">
        <f ca="1">IF(E226="continue",SUM(B$8:B227),"")</f>
        <v/>
      </c>
      <c r="D227" s="1" t="str">
        <f t="shared" ca="1" si="18"/>
        <v/>
      </c>
      <c r="E227" s="13" t="str">
        <f t="shared" ca="1" si="16"/>
        <v>No ruin</v>
      </c>
      <c r="F227">
        <f t="shared" ca="1" si="17"/>
        <v>0</v>
      </c>
    </row>
    <row r="228" spans="1:6">
      <c r="A228" s="3" t="str">
        <f t="shared" ca="1" si="19"/>
        <v/>
      </c>
      <c r="B228" s="2" t="str">
        <f t="shared" ca="1" si="20"/>
        <v/>
      </c>
      <c r="C228" s="2" t="str">
        <f ca="1">IF(E227="continue",SUM(B$8:B228),"")</f>
        <v/>
      </c>
      <c r="D228" s="1" t="str">
        <f t="shared" ca="1" si="18"/>
        <v/>
      </c>
      <c r="E228" s="13" t="str">
        <f t="shared" ca="1" si="16"/>
        <v>No ruin</v>
      </c>
      <c r="F228">
        <f t="shared" ca="1" si="17"/>
        <v>0</v>
      </c>
    </row>
    <row r="229" spans="1:6">
      <c r="A229" s="3" t="str">
        <f t="shared" ca="1" si="19"/>
        <v/>
      </c>
      <c r="B229" s="2" t="str">
        <f t="shared" ca="1" si="20"/>
        <v/>
      </c>
      <c r="C229" s="2" t="str">
        <f ca="1">IF(E228="continue",SUM(B$8:B229),"")</f>
        <v/>
      </c>
      <c r="D229" s="1" t="str">
        <f t="shared" ca="1" si="18"/>
        <v/>
      </c>
      <c r="E229" s="13" t="str">
        <f t="shared" ca="1" si="16"/>
        <v>No ruin</v>
      </c>
      <c r="F229">
        <f t="shared" ca="1" si="17"/>
        <v>0</v>
      </c>
    </row>
    <row r="230" spans="1:6">
      <c r="A230" s="3" t="str">
        <f t="shared" ca="1" si="19"/>
        <v/>
      </c>
      <c r="B230" s="2" t="str">
        <f t="shared" ca="1" si="20"/>
        <v/>
      </c>
      <c r="C230" s="2" t="str">
        <f ca="1">IF(E229="continue",SUM(B$8:B230),"")</f>
        <v/>
      </c>
      <c r="D230" s="1" t="str">
        <f t="shared" ca="1" si="18"/>
        <v/>
      </c>
      <c r="E230" s="13" t="str">
        <f t="shared" ca="1" si="16"/>
        <v>No ruin</v>
      </c>
      <c r="F230">
        <f t="shared" ca="1" si="17"/>
        <v>0</v>
      </c>
    </row>
    <row r="231" spans="1:6">
      <c r="A231" s="3" t="str">
        <f t="shared" ca="1" si="19"/>
        <v/>
      </c>
      <c r="B231" s="2" t="str">
        <f t="shared" ca="1" si="20"/>
        <v/>
      </c>
      <c r="C231" s="2" t="str">
        <f ca="1">IF(E230="continue",SUM(B$8:B231),"")</f>
        <v/>
      </c>
      <c r="D231" s="1" t="str">
        <f t="shared" ca="1" si="18"/>
        <v/>
      </c>
      <c r="E231" s="13" t="str">
        <f t="shared" ca="1" si="16"/>
        <v>No ruin</v>
      </c>
      <c r="F231">
        <f t="shared" ca="1" si="17"/>
        <v>0</v>
      </c>
    </row>
    <row r="232" spans="1:6">
      <c r="A232" s="3" t="str">
        <f t="shared" ca="1" si="19"/>
        <v/>
      </c>
      <c r="B232" s="2" t="str">
        <f t="shared" ca="1" si="20"/>
        <v/>
      </c>
      <c r="C232" s="2" t="str">
        <f ca="1">IF(E231="continue",SUM(B$8:B232),"")</f>
        <v/>
      </c>
      <c r="D232" s="1" t="str">
        <f t="shared" ca="1" si="18"/>
        <v/>
      </c>
      <c r="E232" s="13" t="str">
        <f t="shared" ca="1" si="16"/>
        <v>No ruin</v>
      </c>
      <c r="F232">
        <f t="shared" ca="1" si="17"/>
        <v>0</v>
      </c>
    </row>
    <row r="233" spans="1:6">
      <c r="A233" s="3" t="str">
        <f t="shared" ca="1" si="19"/>
        <v/>
      </c>
      <c r="B233" s="2" t="str">
        <f t="shared" ca="1" si="20"/>
        <v/>
      </c>
      <c r="C233" s="2" t="str">
        <f ca="1">IF(E232="continue",SUM(B$8:B233),"")</f>
        <v/>
      </c>
      <c r="D233" s="1" t="str">
        <f t="shared" ca="1" si="18"/>
        <v/>
      </c>
      <c r="E233" s="13" t="str">
        <f t="shared" ca="1" si="16"/>
        <v>No ruin</v>
      </c>
      <c r="F233">
        <f t="shared" ca="1" si="17"/>
        <v>0</v>
      </c>
    </row>
    <row r="234" spans="1:6">
      <c r="A234" s="3" t="str">
        <f t="shared" ca="1" si="19"/>
        <v/>
      </c>
      <c r="B234" s="2" t="str">
        <f t="shared" ca="1" si="20"/>
        <v/>
      </c>
      <c r="C234" s="2" t="str">
        <f ca="1">IF(E233="continue",SUM(B$8:B234),"")</f>
        <v/>
      </c>
      <c r="D234" s="1" t="str">
        <f t="shared" ca="1" si="18"/>
        <v/>
      </c>
      <c r="E234" s="13" t="str">
        <f t="shared" ca="1" si="16"/>
        <v>No ruin</v>
      </c>
      <c r="F234">
        <f t="shared" ca="1" si="17"/>
        <v>0</v>
      </c>
    </row>
    <row r="235" spans="1:6">
      <c r="A235" s="3" t="str">
        <f t="shared" ca="1" si="19"/>
        <v/>
      </c>
      <c r="B235" s="2" t="str">
        <f t="shared" ca="1" si="20"/>
        <v/>
      </c>
      <c r="C235" s="2" t="str">
        <f ca="1">IF(E234="continue",SUM(B$8:B235),"")</f>
        <v/>
      </c>
      <c r="D235" s="1" t="str">
        <f t="shared" ca="1" si="18"/>
        <v/>
      </c>
      <c r="E235" s="13" t="str">
        <f t="shared" ca="1" si="16"/>
        <v>No ruin</v>
      </c>
      <c r="F235">
        <f t="shared" ca="1" si="17"/>
        <v>0</v>
      </c>
    </row>
    <row r="236" spans="1:6">
      <c r="A236" s="3" t="str">
        <f t="shared" ca="1" si="19"/>
        <v/>
      </c>
      <c r="B236" s="2" t="str">
        <f t="shared" ca="1" si="20"/>
        <v/>
      </c>
      <c r="C236" s="2" t="str">
        <f ca="1">IF(E235="continue",SUM(B$8:B236),"")</f>
        <v/>
      </c>
      <c r="D236" s="1" t="str">
        <f t="shared" ca="1" si="18"/>
        <v/>
      </c>
      <c r="E236" s="13" t="str">
        <f t="shared" ca="1" si="16"/>
        <v>No ruin</v>
      </c>
      <c r="F236">
        <f t="shared" ca="1" si="17"/>
        <v>0</v>
      </c>
    </row>
    <row r="237" spans="1:6">
      <c r="A237" s="3" t="str">
        <f t="shared" ca="1" si="19"/>
        <v/>
      </c>
      <c r="B237" s="2" t="str">
        <f t="shared" ca="1" si="20"/>
        <v/>
      </c>
      <c r="C237" s="2" t="str">
        <f ca="1">IF(E236="continue",SUM(B$8:B237),"")</f>
        <v/>
      </c>
      <c r="D237" s="1" t="str">
        <f t="shared" ca="1" si="18"/>
        <v/>
      </c>
      <c r="E237" s="13" t="str">
        <f t="shared" ca="1" si="16"/>
        <v>No ruin</v>
      </c>
      <c r="F237">
        <f t="shared" ca="1" si="17"/>
        <v>0</v>
      </c>
    </row>
    <row r="238" spans="1:6">
      <c r="A238" s="3" t="str">
        <f t="shared" ca="1" si="19"/>
        <v/>
      </c>
      <c r="B238" s="2" t="str">
        <f t="shared" ca="1" si="20"/>
        <v/>
      </c>
      <c r="C238" s="2" t="str">
        <f ca="1">IF(E237="continue",SUM(B$8:B238),"")</f>
        <v/>
      </c>
      <c r="D238" s="1" t="str">
        <f t="shared" ca="1" si="18"/>
        <v/>
      </c>
      <c r="E238" s="13" t="str">
        <f t="shared" ca="1" si="16"/>
        <v>No ruin</v>
      </c>
      <c r="F238">
        <f t="shared" ca="1" si="17"/>
        <v>0</v>
      </c>
    </row>
    <row r="239" spans="1:6">
      <c r="A239" s="3" t="str">
        <f t="shared" ca="1" si="19"/>
        <v/>
      </c>
      <c r="B239" s="2" t="str">
        <f t="shared" ca="1" si="20"/>
        <v/>
      </c>
      <c r="C239" s="2" t="str">
        <f ca="1">IF(E238="continue",SUM(B$8:B239),"")</f>
        <v/>
      </c>
      <c r="D239" s="1" t="str">
        <f t="shared" ca="1" si="18"/>
        <v/>
      </c>
      <c r="E239" s="13" t="str">
        <f t="shared" ca="1" si="16"/>
        <v>No ruin</v>
      </c>
      <c r="F239">
        <f t="shared" ca="1" si="17"/>
        <v>0</v>
      </c>
    </row>
    <row r="240" spans="1:6">
      <c r="A240" s="3" t="str">
        <f t="shared" ca="1" si="19"/>
        <v/>
      </c>
      <c r="B240" s="2" t="str">
        <f t="shared" ca="1" si="20"/>
        <v/>
      </c>
      <c r="C240" s="2" t="str">
        <f ca="1">IF(E239="continue",SUM(B$8:B240),"")</f>
        <v/>
      </c>
      <c r="D240" s="1" t="str">
        <f t="shared" ca="1" si="18"/>
        <v/>
      </c>
      <c r="E240" s="13" t="str">
        <f t="shared" ca="1" si="16"/>
        <v>No ruin</v>
      </c>
      <c r="F240">
        <f t="shared" ca="1" si="17"/>
        <v>0</v>
      </c>
    </row>
    <row r="241" spans="1:6">
      <c r="A241" s="3" t="str">
        <f t="shared" ca="1" si="19"/>
        <v/>
      </c>
      <c r="B241" s="2" t="str">
        <f t="shared" ca="1" si="20"/>
        <v/>
      </c>
      <c r="C241" s="2" t="str">
        <f ca="1">IF(E240="continue",SUM(B$8:B241),"")</f>
        <v/>
      </c>
      <c r="D241" s="1" t="str">
        <f t="shared" ca="1" si="18"/>
        <v/>
      </c>
      <c r="E241" s="13" t="str">
        <f t="shared" ca="1" si="16"/>
        <v>No ruin</v>
      </c>
      <c r="F241">
        <f t="shared" ca="1" si="17"/>
        <v>0</v>
      </c>
    </row>
    <row r="242" spans="1:6">
      <c r="A242" s="3" t="str">
        <f t="shared" ca="1" si="19"/>
        <v/>
      </c>
      <c r="B242" s="2" t="str">
        <f t="shared" ca="1" si="20"/>
        <v/>
      </c>
      <c r="C242" s="2" t="str">
        <f ca="1">IF(E241="continue",SUM(B$8:B242),"")</f>
        <v/>
      </c>
      <c r="D242" s="1" t="str">
        <f t="shared" ca="1" si="18"/>
        <v/>
      </c>
      <c r="E242" s="13" t="str">
        <f t="shared" ca="1" si="16"/>
        <v>No ruin</v>
      </c>
      <c r="F242">
        <f t="shared" ca="1" si="17"/>
        <v>0</v>
      </c>
    </row>
    <row r="243" spans="1:6">
      <c r="A243" s="3" t="str">
        <f t="shared" ca="1" si="19"/>
        <v/>
      </c>
      <c r="B243" s="2" t="str">
        <f t="shared" ca="1" si="20"/>
        <v/>
      </c>
      <c r="C243" s="2" t="str">
        <f ca="1">IF(E242="continue",SUM(B$8:B243),"")</f>
        <v/>
      </c>
      <c r="D243" s="1" t="str">
        <f t="shared" ca="1" si="18"/>
        <v/>
      </c>
      <c r="E243" s="13" t="str">
        <f t="shared" ca="1" si="16"/>
        <v>No ruin</v>
      </c>
      <c r="F243">
        <f t="shared" ca="1" si="17"/>
        <v>0</v>
      </c>
    </row>
    <row r="244" spans="1:6">
      <c r="A244" s="3" t="str">
        <f t="shared" ca="1" si="19"/>
        <v/>
      </c>
      <c r="B244" s="2" t="str">
        <f t="shared" ca="1" si="20"/>
        <v/>
      </c>
      <c r="C244" s="2" t="str">
        <f ca="1">IF(E243="continue",SUM(B$8:B244),"")</f>
        <v/>
      </c>
      <c r="D244" s="1" t="str">
        <f t="shared" ca="1" si="18"/>
        <v/>
      </c>
      <c r="E244" s="13" t="str">
        <f t="shared" ca="1" si="16"/>
        <v>No ruin</v>
      </c>
      <c r="F244">
        <f t="shared" ca="1" si="17"/>
        <v>0</v>
      </c>
    </row>
    <row r="245" spans="1:6">
      <c r="A245" s="3" t="str">
        <f t="shared" ca="1" si="19"/>
        <v/>
      </c>
      <c r="B245" s="2" t="str">
        <f t="shared" ca="1" si="20"/>
        <v/>
      </c>
      <c r="C245" s="2" t="str">
        <f ca="1">IF(E244="continue",SUM(B$8:B245),"")</f>
        <v/>
      </c>
      <c r="D245" s="1" t="str">
        <f t="shared" ca="1" si="18"/>
        <v/>
      </c>
      <c r="E245" s="13" t="str">
        <f t="shared" ca="1" si="16"/>
        <v>No ruin</v>
      </c>
      <c r="F245">
        <f t="shared" ca="1" si="17"/>
        <v>0</v>
      </c>
    </row>
    <row r="246" spans="1:6">
      <c r="A246" s="3" t="str">
        <f t="shared" ca="1" si="19"/>
        <v/>
      </c>
      <c r="B246" s="2" t="str">
        <f t="shared" ca="1" si="20"/>
        <v/>
      </c>
      <c r="C246" s="2" t="str">
        <f ca="1">IF(E245="continue",SUM(B$8:B246),"")</f>
        <v/>
      </c>
      <c r="D246" s="1" t="str">
        <f t="shared" ca="1" si="18"/>
        <v/>
      </c>
      <c r="E246" s="13" t="str">
        <f t="shared" ca="1" si="16"/>
        <v>No ruin</v>
      </c>
      <c r="F246">
        <f t="shared" ca="1" si="17"/>
        <v>0</v>
      </c>
    </row>
    <row r="247" spans="1:6">
      <c r="A247" s="3" t="str">
        <f t="shared" ca="1" si="19"/>
        <v/>
      </c>
      <c r="B247" s="2" t="str">
        <f t="shared" ca="1" si="20"/>
        <v/>
      </c>
      <c r="C247" s="2" t="str">
        <f ca="1">IF(E246="continue",SUM(B$8:B247),"")</f>
        <v/>
      </c>
      <c r="D247" s="1" t="str">
        <f t="shared" ca="1" si="18"/>
        <v/>
      </c>
      <c r="E247" s="13" t="str">
        <f t="shared" ca="1" si="16"/>
        <v>No ruin</v>
      </c>
      <c r="F247">
        <f t="shared" ca="1" si="17"/>
        <v>0</v>
      </c>
    </row>
    <row r="248" spans="1:6">
      <c r="A248" s="3" t="str">
        <f t="shared" ca="1" si="19"/>
        <v/>
      </c>
      <c r="B248" s="2" t="str">
        <f t="shared" ca="1" si="20"/>
        <v/>
      </c>
      <c r="C248" s="2" t="str">
        <f ca="1">IF(E247="continue",SUM(B$8:B248),"")</f>
        <v/>
      </c>
      <c r="D248" s="1" t="str">
        <f t="shared" ca="1" si="18"/>
        <v/>
      </c>
      <c r="E248" s="13" t="str">
        <f t="shared" ca="1" si="16"/>
        <v>No ruin</v>
      </c>
      <c r="F248">
        <f t="shared" ca="1" si="17"/>
        <v>0</v>
      </c>
    </row>
    <row r="249" spans="1:6">
      <c r="A249" s="3" t="str">
        <f t="shared" ca="1" si="19"/>
        <v/>
      </c>
      <c r="B249" s="2" t="str">
        <f t="shared" ca="1" si="20"/>
        <v/>
      </c>
      <c r="C249" s="2" t="str">
        <f ca="1">IF(E248="continue",SUM(B$8:B249),"")</f>
        <v/>
      </c>
      <c r="D249" s="1" t="str">
        <f t="shared" ca="1" si="18"/>
        <v/>
      </c>
      <c r="E249" s="13" t="str">
        <f t="shared" ca="1" si="16"/>
        <v>No ruin</v>
      </c>
      <c r="F249">
        <f t="shared" ca="1" si="17"/>
        <v>0</v>
      </c>
    </row>
    <row r="250" spans="1:6">
      <c r="A250" s="3" t="str">
        <f t="shared" ca="1" si="19"/>
        <v/>
      </c>
      <c r="B250" s="2" t="str">
        <f t="shared" ca="1" si="20"/>
        <v/>
      </c>
      <c r="C250" s="2" t="str">
        <f ca="1">IF(E249="continue",SUM(B$8:B250),"")</f>
        <v/>
      </c>
      <c r="D250" s="1" t="str">
        <f t="shared" ca="1" si="18"/>
        <v/>
      </c>
      <c r="E250" s="13" t="str">
        <f t="shared" ca="1" si="16"/>
        <v>No ruin</v>
      </c>
      <c r="F250">
        <f t="shared" ca="1" si="17"/>
        <v>0</v>
      </c>
    </row>
    <row r="251" spans="1:6">
      <c r="A251" s="3" t="str">
        <f t="shared" ca="1" si="19"/>
        <v/>
      </c>
      <c r="B251" s="2" t="str">
        <f t="shared" ca="1" si="20"/>
        <v/>
      </c>
      <c r="C251" s="2" t="str">
        <f ca="1">IF(E250="continue",SUM(B$8:B251),"")</f>
        <v/>
      </c>
      <c r="D251" s="1" t="str">
        <f t="shared" ca="1" si="18"/>
        <v/>
      </c>
      <c r="E251" s="13" t="str">
        <f t="shared" ca="1" si="16"/>
        <v>No ruin</v>
      </c>
      <c r="F251">
        <f t="shared" ca="1" si="17"/>
        <v>0</v>
      </c>
    </row>
    <row r="252" spans="1:6">
      <c r="A252" s="3" t="str">
        <f t="shared" ca="1" si="19"/>
        <v/>
      </c>
      <c r="B252" s="2" t="str">
        <f t="shared" ca="1" si="20"/>
        <v/>
      </c>
      <c r="C252" s="2" t="str">
        <f ca="1">IF(E251="continue",SUM(B$8:B252),"")</f>
        <v/>
      </c>
      <c r="D252" s="1" t="str">
        <f t="shared" ca="1" si="18"/>
        <v/>
      </c>
      <c r="E252" s="13" t="str">
        <f t="shared" ca="1" si="16"/>
        <v>No ruin</v>
      </c>
      <c r="F252">
        <f t="shared" ca="1" si="17"/>
        <v>0</v>
      </c>
    </row>
    <row r="253" spans="1:6">
      <c r="A253" s="3" t="str">
        <f t="shared" ca="1" si="19"/>
        <v/>
      </c>
      <c r="B253" s="2" t="str">
        <f t="shared" ca="1" si="20"/>
        <v/>
      </c>
      <c r="C253" s="2" t="str">
        <f ca="1">IF(E252="continue",SUM(B$8:B253),"")</f>
        <v/>
      </c>
      <c r="D253" s="1" t="str">
        <f t="shared" ca="1" si="18"/>
        <v/>
      </c>
      <c r="E253" s="13" t="str">
        <f t="shared" ca="1" si="16"/>
        <v>No ruin</v>
      </c>
      <c r="F253">
        <f t="shared" ca="1" si="17"/>
        <v>0</v>
      </c>
    </row>
    <row r="254" spans="1:6">
      <c r="A254" s="3" t="str">
        <f t="shared" ca="1" si="19"/>
        <v/>
      </c>
      <c r="B254" s="2" t="str">
        <f t="shared" ca="1" si="20"/>
        <v/>
      </c>
      <c r="C254" s="2" t="str">
        <f ca="1">IF(E253="continue",SUM(B$8:B254),"")</f>
        <v/>
      </c>
      <c r="D254" s="1" t="str">
        <f t="shared" ca="1" si="18"/>
        <v/>
      </c>
      <c r="E254" s="13" t="str">
        <f t="shared" ca="1" si="16"/>
        <v>No ruin</v>
      </c>
      <c r="F254">
        <f t="shared" ca="1" si="17"/>
        <v>0</v>
      </c>
    </row>
    <row r="255" spans="1:6">
      <c r="A255" s="3" t="str">
        <f t="shared" ca="1" si="19"/>
        <v/>
      </c>
      <c r="B255" s="2" t="str">
        <f t="shared" ca="1" si="20"/>
        <v/>
      </c>
      <c r="C255" s="2" t="str">
        <f ca="1">IF(E254="continue",SUM(B$8:B255),"")</f>
        <v/>
      </c>
      <c r="D255" s="1" t="str">
        <f t="shared" ca="1" si="18"/>
        <v/>
      </c>
      <c r="E255" s="13" t="str">
        <f t="shared" ca="1" si="16"/>
        <v>No ruin</v>
      </c>
      <c r="F255">
        <f t="shared" ca="1" si="17"/>
        <v>0</v>
      </c>
    </row>
    <row r="256" spans="1:6">
      <c r="A256" s="3" t="str">
        <f t="shared" ca="1" si="19"/>
        <v/>
      </c>
      <c r="B256" s="2" t="str">
        <f t="shared" ca="1" si="20"/>
        <v/>
      </c>
      <c r="C256" s="2" t="str">
        <f ca="1">IF(E255="continue",SUM(B$8:B256),"")</f>
        <v/>
      </c>
      <c r="D256" s="1" t="str">
        <f t="shared" ca="1" si="18"/>
        <v/>
      </c>
      <c r="E256" s="13" t="str">
        <f t="shared" ca="1" si="16"/>
        <v>No ruin</v>
      </c>
      <c r="F256">
        <f t="shared" ca="1" si="17"/>
        <v>0</v>
      </c>
    </row>
    <row r="257" spans="1:6">
      <c r="A257" s="3" t="str">
        <f t="shared" ca="1" si="19"/>
        <v/>
      </c>
      <c r="B257" s="2" t="str">
        <f t="shared" ca="1" si="20"/>
        <v/>
      </c>
      <c r="C257" s="2" t="str">
        <f ca="1">IF(E256="continue",SUM(B$8:B257),"")</f>
        <v/>
      </c>
      <c r="D257" s="1" t="str">
        <f t="shared" ca="1" si="18"/>
        <v/>
      </c>
      <c r="E257" s="13" t="str">
        <f t="shared" ca="1" si="16"/>
        <v>No ruin</v>
      </c>
      <c r="F257">
        <f t="shared" ca="1" si="17"/>
        <v>0</v>
      </c>
    </row>
    <row r="258" spans="1:6">
      <c r="A258" s="3" t="str">
        <f t="shared" ca="1" si="19"/>
        <v/>
      </c>
      <c r="B258" s="2" t="str">
        <f t="shared" ca="1" si="20"/>
        <v/>
      </c>
      <c r="C258" s="2" t="str">
        <f ca="1">IF(E257="continue",SUM(B$8:B258),"")</f>
        <v/>
      </c>
      <c r="D258" s="1" t="str">
        <f t="shared" ca="1" si="18"/>
        <v/>
      </c>
      <c r="E258" s="13" t="str">
        <f t="shared" ca="1" si="16"/>
        <v>No ruin</v>
      </c>
      <c r="F258">
        <f t="shared" ca="1" si="17"/>
        <v>0</v>
      </c>
    </row>
    <row r="259" spans="1:6">
      <c r="A259" s="3" t="str">
        <f t="shared" ca="1" si="19"/>
        <v/>
      </c>
      <c r="B259" s="2" t="str">
        <f t="shared" ca="1" si="20"/>
        <v/>
      </c>
      <c r="C259" s="2" t="str">
        <f ca="1">IF(E258="continue",SUM(B$8:B259),"")</f>
        <v/>
      </c>
      <c r="D259" s="1" t="str">
        <f t="shared" ca="1" si="18"/>
        <v/>
      </c>
      <c r="E259" s="13" t="str">
        <f t="shared" ca="1" si="16"/>
        <v>No ruin</v>
      </c>
      <c r="F259">
        <f t="shared" ca="1" si="17"/>
        <v>0</v>
      </c>
    </row>
    <row r="260" spans="1:6">
      <c r="A260" s="3" t="str">
        <f t="shared" ca="1" si="19"/>
        <v/>
      </c>
      <c r="B260" s="2" t="str">
        <f t="shared" ca="1" si="20"/>
        <v/>
      </c>
      <c r="C260" s="2" t="str">
        <f ca="1">IF(E259="continue",SUM(B$8:B260),"")</f>
        <v/>
      </c>
      <c r="D260" s="1" t="str">
        <f t="shared" ca="1" si="18"/>
        <v/>
      </c>
      <c r="E260" s="13" t="str">
        <f t="shared" ca="1" si="16"/>
        <v>No ruin</v>
      </c>
      <c r="F260">
        <f t="shared" ca="1" si="17"/>
        <v>0</v>
      </c>
    </row>
    <row r="261" spans="1:6">
      <c r="A261" s="3" t="str">
        <f t="shared" ca="1" si="19"/>
        <v/>
      </c>
      <c r="B261" s="2" t="str">
        <f t="shared" ca="1" si="20"/>
        <v/>
      </c>
      <c r="C261" s="2" t="str">
        <f ca="1">IF(E260="continue",SUM(B$8:B261),"")</f>
        <v/>
      </c>
      <c r="D261" s="1" t="str">
        <f t="shared" ca="1" si="18"/>
        <v/>
      </c>
      <c r="E261" s="13" t="str">
        <f t="shared" ca="1" si="16"/>
        <v>No ruin</v>
      </c>
      <c r="F261">
        <f t="shared" ca="1" si="17"/>
        <v>0</v>
      </c>
    </row>
    <row r="262" spans="1:6">
      <c r="A262" s="3" t="str">
        <f t="shared" ca="1" si="19"/>
        <v/>
      </c>
      <c r="B262" s="2" t="str">
        <f t="shared" ca="1" si="20"/>
        <v/>
      </c>
      <c r="C262" s="2" t="str">
        <f ca="1">IF(E261="continue",SUM(B$8:B262),"")</f>
        <v/>
      </c>
      <c r="D262" s="1" t="str">
        <f t="shared" ca="1" si="18"/>
        <v/>
      </c>
      <c r="E262" s="13" t="str">
        <f t="shared" ca="1" si="16"/>
        <v>No ruin</v>
      </c>
      <c r="F262">
        <f t="shared" ca="1" si="17"/>
        <v>0</v>
      </c>
    </row>
    <row r="263" spans="1:6">
      <c r="A263" s="3" t="str">
        <f t="shared" ca="1" si="19"/>
        <v/>
      </c>
      <c r="B263" s="2" t="str">
        <f t="shared" ca="1" si="20"/>
        <v/>
      </c>
      <c r="C263" s="2" t="str">
        <f ca="1">IF(E262="continue",SUM(B$8:B263),"")</f>
        <v/>
      </c>
      <c r="D263" s="1" t="str">
        <f t="shared" ca="1" si="18"/>
        <v/>
      </c>
      <c r="E263" s="13" t="str">
        <f t="shared" ca="1" si="16"/>
        <v>No ruin</v>
      </c>
      <c r="F263">
        <f t="shared" ca="1" si="17"/>
        <v>0</v>
      </c>
    </row>
    <row r="264" spans="1:6">
      <c r="A264" s="3" t="str">
        <f t="shared" ca="1" si="19"/>
        <v/>
      </c>
      <c r="B264" s="2" t="str">
        <f t="shared" ca="1" si="20"/>
        <v/>
      </c>
      <c r="C264" s="2" t="str">
        <f ca="1">IF(E263="continue",SUM(B$8:B264),"")</f>
        <v/>
      </c>
      <c r="D264" s="1" t="str">
        <f t="shared" ca="1" si="18"/>
        <v/>
      </c>
      <c r="E264" s="13" t="str">
        <f t="shared" ca="1" si="16"/>
        <v>No ruin</v>
      </c>
      <c r="F264">
        <f t="shared" ca="1" si="17"/>
        <v>0</v>
      </c>
    </row>
    <row r="265" spans="1:6">
      <c r="A265" s="3" t="str">
        <f t="shared" ca="1" si="19"/>
        <v/>
      </c>
      <c r="B265" s="2" t="str">
        <f t="shared" ca="1" si="20"/>
        <v/>
      </c>
      <c r="C265" s="2" t="str">
        <f ca="1">IF(E264="continue",SUM(B$8:B265),"")</f>
        <v/>
      </c>
      <c r="D265" s="1" t="str">
        <f t="shared" ca="1" si="18"/>
        <v/>
      </c>
      <c r="E265" s="13" t="str">
        <f t="shared" ca="1" si="16"/>
        <v>No ruin</v>
      </c>
      <c r="F265">
        <f t="shared" ca="1" si="17"/>
        <v>0</v>
      </c>
    </row>
    <row r="266" spans="1:6">
      <c r="A266" s="3" t="str">
        <f t="shared" ca="1" si="19"/>
        <v/>
      </c>
      <c r="B266" s="2" t="str">
        <f t="shared" ca="1" si="20"/>
        <v/>
      </c>
      <c r="C266" s="2" t="str">
        <f ca="1">IF(E265="continue",SUM(B$8:B266),"")</f>
        <v/>
      </c>
      <c r="D266" s="1" t="str">
        <f t="shared" ca="1" si="18"/>
        <v/>
      </c>
      <c r="E266" s="13" t="str">
        <f t="shared" ref="E266:E329" ca="1" si="21">IF(A266&gt;G$1,"No ruin",IF(AND(A266&lt;=G$1,C266&gt;J$4+D266),"RUIN","continue"))</f>
        <v>No ruin</v>
      </c>
      <c r="F266">
        <f t="shared" ref="F266:F329" ca="1" si="22">IF(E266="RUIN",1,0)</f>
        <v>0</v>
      </c>
    </row>
    <row r="267" spans="1:6">
      <c r="A267" s="3" t="str">
        <f t="shared" ca="1" si="19"/>
        <v/>
      </c>
      <c r="B267" s="2" t="str">
        <f t="shared" ca="1" si="20"/>
        <v/>
      </c>
      <c r="C267" s="2" t="str">
        <f ca="1">IF(E266="continue",SUM(B$8:B267),"")</f>
        <v/>
      </c>
      <c r="D267" s="1" t="str">
        <f t="shared" ref="D267:D330" ca="1" si="23">IF(E266="continue",(1+J$1)*(1/O$3)*M$3*A267,"")</f>
        <v/>
      </c>
      <c r="E267" s="13" t="str">
        <f t="shared" ca="1" si="21"/>
        <v>No ruin</v>
      </c>
      <c r="F267">
        <f t="shared" ca="1" si="22"/>
        <v>0</v>
      </c>
    </row>
    <row r="268" spans="1:6">
      <c r="A268" s="3" t="str">
        <f t="shared" ref="A268:A331" ca="1" si="24">IF(E267="continue",-LN(1-RAND())*O$3+A267,"")</f>
        <v/>
      </c>
      <c r="B268" s="2" t="str">
        <f t="shared" ref="B268:B331" ca="1" si="25">IF(E267="continue",-LN(1-RAND())*M$3,"")</f>
        <v/>
      </c>
      <c r="C268" s="2" t="str">
        <f ca="1">IF(E267="continue",SUM(B$8:B268),"")</f>
        <v/>
      </c>
      <c r="D268" s="1" t="str">
        <f t="shared" ca="1" si="23"/>
        <v/>
      </c>
      <c r="E268" s="13" t="str">
        <f t="shared" ca="1" si="21"/>
        <v>No ruin</v>
      </c>
      <c r="F268">
        <f t="shared" ca="1" si="22"/>
        <v>0</v>
      </c>
    </row>
    <row r="269" spans="1:6">
      <c r="A269" s="3" t="str">
        <f t="shared" ca="1" si="24"/>
        <v/>
      </c>
      <c r="B269" s="2" t="str">
        <f t="shared" ca="1" si="25"/>
        <v/>
      </c>
      <c r="C269" s="2" t="str">
        <f ca="1">IF(E268="continue",SUM(B$8:B269),"")</f>
        <v/>
      </c>
      <c r="D269" s="1" t="str">
        <f t="shared" ca="1" si="23"/>
        <v/>
      </c>
      <c r="E269" s="13" t="str">
        <f t="shared" ca="1" si="21"/>
        <v>No ruin</v>
      </c>
      <c r="F269">
        <f t="shared" ca="1" si="22"/>
        <v>0</v>
      </c>
    </row>
    <row r="270" spans="1:6">
      <c r="A270" s="3" t="str">
        <f t="shared" ca="1" si="24"/>
        <v/>
      </c>
      <c r="B270" s="2" t="str">
        <f t="shared" ca="1" si="25"/>
        <v/>
      </c>
      <c r="C270" s="2" t="str">
        <f ca="1">IF(E269="continue",SUM(B$8:B270),"")</f>
        <v/>
      </c>
      <c r="D270" s="1" t="str">
        <f t="shared" ca="1" si="23"/>
        <v/>
      </c>
      <c r="E270" s="13" t="str">
        <f t="shared" ca="1" si="21"/>
        <v>No ruin</v>
      </c>
      <c r="F270">
        <f t="shared" ca="1" si="22"/>
        <v>0</v>
      </c>
    </row>
    <row r="271" spans="1:6">
      <c r="A271" s="3" t="str">
        <f t="shared" ca="1" si="24"/>
        <v/>
      </c>
      <c r="B271" s="2" t="str">
        <f t="shared" ca="1" si="25"/>
        <v/>
      </c>
      <c r="C271" s="2" t="str">
        <f ca="1">IF(E270="continue",SUM(B$8:B271),"")</f>
        <v/>
      </c>
      <c r="D271" s="1" t="str">
        <f t="shared" ca="1" si="23"/>
        <v/>
      </c>
      <c r="E271" s="13" t="str">
        <f t="shared" ca="1" si="21"/>
        <v>No ruin</v>
      </c>
      <c r="F271">
        <f t="shared" ca="1" si="22"/>
        <v>0</v>
      </c>
    </row>
    <row r="272" spans="1:6">
      <c r="A272" s="3" t="str">
        <f t="shared" ca="1" si="24"/>
        <v/>
      </c>
      <c r="B272" s="2" t="str">
        <f t="shared" ca="1" si="25"/>
        <v/>
      </c>
      <c r="C272" s="2" t="str">
        <f ca="1">IF(E271="continue",SUM(B$8:B272),"")</f>
        <v/>
      </c>
      <c r="D272" s="1" t="str">
        <f t="shared" ca="1" si="23"/>
        <v/>
      </c>
      <c r="E272" s="13" t="str">
        <f t="shared" ca="1" si="21"/>
        <v>No ruin</v>
      </c>
      <c r="F272">
        <f t="shared" ca="1" si="22"/>
        <v>0</v>
      </c>
    </row>
    <row r="273" spans="1:6">
      <c r="A273" s="3" t="str">
        <f t="shared" ca="1" si="24"/>
        <v/>
      </c>
      <c r="B273" s="2" t="str">
        <f t="shared" ca="1" si="25"/>
        <v/>
      </c>
      <c r="C273" s="2" t="str">
        <f ca="1">IF(E272="continue",SUM(B$8:B273),"")</f>
        <v/>
      </c>
      <c r="D273" s="1" t="str">
        <f t="shared" ca="1" si="23"/>
        <v/>
      </c>
      <c r="E273" s="13" t="str">
        <f t="shared" ca="1" si="21"/>
        <v>No ruin</v>
      </c>
      <c r="F273">
        <f t="shared" ca="1" si="22"/>
        <v>0</v>
      </c>
    </row>
    <row r="274" spans="1:6">
      <c r="A274" s="3" t="str">
        <f t="shared" ca="1" si="24"/>
        <v/>
      </c>
      <c r="B274" s="2" t="str">
        <f t="shared" ca="1" si="25"/>
        <v/>
      </c>
      <c r="C274" s="2" t="str">
        <f ca="1">IF(E273="continue",SUM(B$8:B274),"")</f>
        <v/>
      </c>
      <c r="D274" s="1" t="str">
        <f t="shared" ca="1" si="23"/>
        <v/>
      </c>
      <c r="E274" s="13" t="str">
        <f t="shared" ca="1" si="21"/>
        <v>No ruin</v>
      </c>
      <c r="F274">
        <f t="shared" ca="1" si="22"/>
        <v>0</v>
      </c>
    </row>
    <row r="275" spans="1:6">
      <c r="A275" s="3" t="str">
        <f t="shared" ca="1" si="24"/>
        <v/>
      </c>
      <c r="B275" s="2" t="str">
        <f t="shared" ca="1" si="25"/>
        <v/>
      </c>
      <c r="C275" s="2" t="str">
        <f ca="1">IF(E274="continue",SUM(B$8:B275),"")</f>
        <v/>
      </c>
      <c r="D275" s="1" t="str">
        <f t="shared" ca="1" si="23"/>
        <v/>
      </c>
      <c r="E275" s="13" t="str">
        <f t="shared" ca="1" si="21"/>
        <v>No ruin</v>
      </c>
      <c r="F275">
        <f t="shared" ca="1" si="22"/>
        <v>0</v>
      </c>
    </row>
    <row r="276" spans="1:6">
      <c r="A276" s="3" t="str">
        <f t="shared" ca="1" si="24"/>
        <v/>
      </c>
      <c r="B276" s="2" t="str">
        <f t="shared" ca="1" si="25"/>
        <v/>
      </c>
      <c r="C276" s="2" t="str">
        <f ca="1">IF(E275="continue",SUM(B$8:B276),"")</f>
        <v/>
      </c>
      <c r="D276" s="1" t="str">
        <f t="shared" ca="1" si="23"/>
        <v/>
      </c>
      <c r="E276" s="13" t="str">
        <f t="shared" ca="1" si="21"/>
        <v>No ruin</v>
      </c>
      <c r="F276">
        <f t="shared" ca="1" si="22"/>
        <v>0</v>
      </c>
    </row>
    <row r="277" spans="1:6">
      <c r="A277" s="3" t="str">
        <f t="shared" ca="1" si="24"/>
        <v/>
      </c>
      <c r="B277" s="2" t="str">
        <f t="shared" ca="1" si="25"/>
        <v/>
      </c>
      <c r="C277" s="2" t="str">
        <f ca="1">IF(E276="continue",SUM(B$8:B277),"")</f>
        <v/>
      </c>
      <c r="D277" s="1" t="str">
        <f t="shared" ca="1" si="23"/>
        <v/>
      </c>
      <c r="E277" s="13" t="str">
        <f t="shared" ca="1" si="21"/>
        <v>No ruin</v>
      </c>
      <c r="F277">
        <f t="shared" ca="1" si="22"/>
        <v>0</v>
      </c>
    </row>
    <row r="278" spans="1:6">
      <c r="A278" s="3" t="str">
        <f t="shared" ca="1" si="24"/>
        <v/>
      </c>
      <c r="B278" s="2" t="str">
        <f t="shared" ca="1" si="25"/>
        <v/>
      </c>
      <c r="C278" s="2" t="str">
        <f ca="1">IF(E277="continue",SUM(B$8:B278),"")</f>
        <v/>
      </c>
      <c r="D278" s="1" t="str">
        <f t="shared" ca="1" si="23"/>
        <v/>
      </c>
      <c r="E278" s="13" t="str">
        <f t="shared" ca="1" si="21"/>
        <v>No ruin</v>
      </c>
      <c r="F278">
        <f t="shared" ca="1" si="22"/>
        <v>0</v>
      </c>
    </row>
    <row r="279" spans="1:6">
      <c r="A279" s="3" t="str">
        <f t="shared" ca="1" si="24"/>
        <v/>
      </c>
      <c r="B279" s="2" t="str">
        <f t="shared" ca="1" si="25"/>
        <v/>
      </c>
      <c r="C279" s="2" t="str">
        <f ca="1">IF(E278="continue",SUM(B$8:B279),"")</f>
        <v/>
      </c>
      <c r="D279" s="1" t="str">
        <f t="shared" ca="1" si="23"/>
        <v/>
      </c>
      <c r="E279" s="13" t="str">
        <f t="shared" ca="1" si="21"/>
        <v>No ruin</v>
      </c>
      <c r="F279">
        <f t="shared" ca="1" si="22"/>
        <v>0</v>
      </c>
    </row>
    <row r="280" spans="1:6">
      <c r="A280" s="3" t="str">
        <f t="shared" ca="1" si="24"/>
        <v/>
      </c>
      <c r="B280" s="2" t="str">
        <f t="shared" ca="1" si="25"/>
        <v/>
      </c>
      <c r="C280" s="2" t="str">
        <f ca="1">IF(E279="continue",SUM(B$8:B280),"")</f>
        <v/>
      </c>
      <c r="D280" s="1" t="str">
        <f t="shared" ca="1" si="23"/>
        <v/>
      </c>
      <c r="E280" s="13" t="str">
        <f t="shared" ca="1" si="21"/>
        <v>No ruin</v>
      </c>
      <c r="F280">
        <f t="shared" ca="1" si="22"/>
        <v>0</v>
      </c>
    </row>
    <row r="281" spans="1:6">
      <c r="A281" s="3" t="str">
        <f t="shared" ca="1" si="24"/>
        <v/>
      </c>
      <c r="B281" s="2" t="str">
        <f t="shared" ca="1" si="25"/>
        <v/>
      </c>
      <c r="C281" s="2" t="str">
        <f ca="1">IF(E280="continue",SUM(B$8:B281),"")</f>
        <v/>
      </c>
      <c r="D281" s="1" t="str">
        <f t="shared" ca="1" si="23"/>
        <v/>
      </c>
      <c r="E281" s="13" t="str">
        <f t="shared" ca="1" si="21"/>
        <v>No ruin</v>
      </c>
      <c r="F281">
        <f t="shared" ca="1" si="22"/>
        <v>0</v>
      </c>
    </row>
    <row r="282" spans="1:6">
      <c r="A282" s="3" t="str">
        <f t="shared" ca="1" si="24"/>
        <v/>
      </c>
      <c r="B282" s="2" t="str">
        <f t="shared" ca="1" si="25"/>
        <v/>
      </c>
      <c r="C282" s="2" t="str">
        <f ca="1">IF(E281="continue",SUM(B$8:B282),"")</f>
        <v/>
      </c>
      <c r="D282" s="1" t="str">
        <f t="shared" ca="1" si="23"/>
        <v/>
      </c>
      <c r="E282" s="13" t="str">
        <f t="shared" ca="1" si="21"/>
        <v>No ruin</v>
      </c>
      <c r="F282">
        <f t="shared" ca="1" si="22"/>
        <v>0</v>
      </c>
    </row>
    <row r="283" spans="1:6">
      <c r="A283" s="3" t="str">
        <f t="shared" ca="1" si="24"/>
        <v/>
      </c>
      <c r="B283" s="2" t="str">
        <f t="shared" ca="1" si="25"/>
        <v/>
      </c>
      <c r="C283" s="2" t="str">
        <f ca="1">IF(E282="continue",SUM(B$8:B283),"")</f>
        <v/>
      </c>
      <c r="D283" s="1" t="str">
        <f t="shared" ca="1" si="23"/>
        <v/>
      </c>
      <c r="E283" s="13" t="str">
        <f t="shared" ca="1" si="21"/>
        <v>No ruin</v>
      </c>
      <c r="F283">
        <f t="shared" ca="1" si="22"/>
        <v>0</v>
      </c>
    </row>
    <row r="284" spans="1:6">
      <c r="A284" s="3" t="str">
        <f t="shared" ca="1" si="24"/>
        <v/>
      </c>
      <c r="B284" s="2" t="str">
        <f t="shared" ca="1" si="25"/>
        <v/>
      </c>
      <c r="C284" s="2" t="str">
        <f ca="1">IF(E283="continue",SUM(B$8:B284),"")</f>
        <v/>
      </c>
      <c r="D284" s="1" t="str">
        <f t="shared" ca="1" si="23"/>
        <v/>
      </c>
      <c r="E284" s="13" t="str">
        <f t="shared" ca="1" si="21"/>
        <v>No ruin</v>
      </c>
      <c r="F284">
        <f t="shared" ca="1" si="22"/>
        <v>0</v>
      </c>
    </row>
    <row r="285" spans="1:6">
      <c r="A285" s="3" t="str">
        <f t="shared" ca="1" si="24"/>
        <v/>
      </c>
      <c r="B285" s="2" t="str">
        <f t="shared" ca="1" si="25"/>
        <v/>
      </c>
      <c r="C285" s="2" t="str">
        <f ca="1">IF(E284="continue",SUM(B$8:B285),"")</f>
        <v/>
      </c>
      <c r="D285" s="1" t="str">
        <f t="shared" ca="1" si="23"/>
        <v/>
      </c>
      <c r="E285" s="13" t="str">
        <f t="shared" ca="1" si="21"/>
        <v>No ruin</v>
      </c>
      <c r="F285">
        <f t="shared" ca="1" si="22"/>
        <v>0</v>
      </c>
    </row>
    <row r="286" spans="1:6">
      <c r="A286" s="3" t="str">
        <f t="shared" ca="1" si="24"/>
        <v/>
      </c>
      <c r="B286" s="2" t="str">
        <f t="shared" ca="1" si="25"/>
        <v/>
      </c>
      <c r="C286" s="2" t="str">
        <f ca="1">IF(E285="continue",SUM(B$8:B286),"")</f>
        <v/>
      </c>
      <c r="D286" s="1" t="str">
        <f t="shared" ca="1" si="23"/>
        <v/>
      </c>
      <c r="E286" s="13" t="str">
        <f t="shared" ca="1" si="21"/>
        <v>No ruin</v>
      </c>
      <c r="F286">
        <f t="shared" ca="1" si="22"/>
        <v>0</v>
      </c>
    </row>
    <row r="287" spans="1:6">
      <c r="A287" s="3" t="str">
        <f t="shared" ca="1" si="24"/>
        <v/>
      </c>
      <c r="B287" s="2" t="str">
        <f t="shared" ca="1" si="25"/>
        <v/>
      </c>
      <c r="C287" s="2" t="str">
        <f ca="1">IF(E286="continue",SUM(B$8:B287),"")</f>
        <v/>
      </c>
      <c r="D287" s="1" t="str">
        <f t="shared" ca="1" si="23"/>
        <v/>
      </c>
      <c r="E287" s="13" t="str">
        <f t="shared" ca="1" si="21"/>
        <v>No ruin</v>
      </c>
      <c r="F287">
        <f t="shared" ca="1" si="22"/>
        <v>0</v>
      </c>
    </row>
    <row r="288" spans="1:6">
      <c r="A288" s="3" t="str">
        <f t="shared" ca="1" si="24"/>
        <v/>
      </c>
      <c r="B288" s="2" t="str">
        <f t="shared" ca="1" si="25"/>
        <v/>
      </c>
      <c r="C288" s="2" t="str">
        <f ca="1">IF(E287="continue",SUM(B$8:B288),"")</f>
        <v/>
      </c>
      <c r="D288" s="1" t="str">
        <f t="shared" ca="1" si="23"/>
        <v/>
      </c>
      <c r="E288" s="13" t="str">
        <f t="shared" ca="1" si="21"/>
        <v>No ruin</v>
      </c>
      <c r="F288">
        <f t="shared" ca="1" si="22"/>
        <v>0</v>
      </c>
    </row>
    <row r="289" spans="1:6">
      <c r="A289" s="3" t="str">
        <f t="shared" ca="1" si="24"/>
        <v/>
      </c>
      <c r="B289" s="2" t="str">
        <f t="shared" ca="1" si="25"/>
        <v/>
      </c>
      <c r="C289" s="2" t="str">
        <f ca="1">IF(E288="continue",SUM(B$8:B289),"")</f>
        <v/>
      </c>
      <c r="D289" s="1" t="str">
        <f t="shared" ca="1" si="23"/>
        <v/>
      </c>
      <c r="E289" s="13" t="str">
        <f t="shared" ca="1" si="21"/>
        <v>No ruin</v>
      </c>
      <c r="F289">
        <f t="shared" ca="1" si="22"/>
        <v>0</v>
      </c>
    </row>
    <row r="290" spans="1:6">
      <c r="A290" s="3" t="str">
        <f t="shared" ca="1" si="24"/>
        <v/>
      </c>
      <c r="B290" s="2" t="str">
        <f t="shared" ca="1" si="25"/>
        <v/>
      </c>
      <c r="C290" s="2" t="str">
        <f ca="1">IF(E289="continue",SUM(B$8:B290),"")</f>
        <v/>
      </c>
      <c r="D290" s="1" t="str">
        <f t="shared" ca="1" si="23"/>
        <v/>
      </c>
      <c r="E290" s="13" t="str">
        <f t="shared" ca="1" si="21"/>
        <v>No ruin</v>
      </c>
      <c r="F290">
        <f t="shared" ca="1" si="22"/>
        <v>0</v>
      </c>
    </row>
    <row r="291" spans="1:6">
      <c r="A291" s="3" t="str">
        <f t="shared" ca="1" si="24"/>
        <v/>
      </c>
      <c r="B291" s="2" t="str">
        <f t="shared" ca="1" si="25"/>
        <v/>
      </c>
      <c r="C291" s="2" t="str">
        <f ca="1">IF(E290="continue",SUM(B$8:B291),"")</f>
        <v/>
      </c>
      <c r="D291" s="1" t="str">
        <f t="shared" ca="1" si="23"/>
        <v/>
      </c>
      <c r="E291" s="13" t="str">
        <f t="shared" ca="1" si="21"/>
        <v>No ruin</v>
      </c>
      <c r="F291">
        <f t="shared" ca="1" si="22"/>
        <v>0</v>
      </c>
    </row>
    <row r="292" spans="1:6">
      <c r="A292" s="3" t="str">
        <f t="shared" ca="1" si="24"/>
        <v/>
      </c>
      <c r="B292" s="2" t="str">
        <f t="shared" ca="1" si="25"/>
        <v/>
      </c>
      <c r="C292" s="2" t="str">
        <f ca="1">IF(E291="continue",SUM(B$8:B292),"")</f>
        <v/>
      </c>
      <c r="D292" s="1" t="str">
        <f t="shared" ca="1" si="23"/>
        <v/>
      </c>
      <c r="E292" s="13" t="str">
        <f t="shared" ca="1" si="21"/>
        <v>No ruin</v>
      </c>
      <c r="F292">
        <f t="shared" ca="1" si="22"/>
        <v>0</v>
      </c>
    </row>
    <row r="293" spans="1:6">
      <c r="A293" s="3" t="str">
        <f t="shared" ca="1" si="24"/>
        <v/>
      </c>
      <c r="B293" s="2" t="str">
        <f t="shared" ca="1" si="25"/>
        <v/>
      </c>
      <c r="C293" s="2" t="str">
        <f ca="1">IF(E292="continue",SUM(B$8:B293),"")</f>
        <v/>
      </c>
      <c r="D293" s="1" t="str">
        <f t="shared" ca="1" si="23"/>
        <v/>
      </c>
      <c r="E293" s="13" t="str">
        <f t="shared" ca="1" si="21"/>
        <v>No ruin</v>
      </c>
      <c r="F293">
        <f t="shared" ca="1" si="22"/>
        <v>0</v>
      </c>
    </row>
    <row r="294" spans="1:6">
      <c r="A294" s="3" t="str">
        <f t="shared" ca="1" si="24"/>
        <v/>
      </c>
      <c r="B294" s="2" t="str">
        <f t="shared" ca="1" si="25"/>
        <v/>
      </c>
      <c r="C294" s="2" t="str">
        <f ca="1">IF(E293="continue",SUM(B$8:B294),"")</f>
        <v/>
      </c>
      <c r="D294" s="1" t="str">
        <f t="shared" ca="1" si="23"/>
        <v/>
      </c>
      <c r="E294" s="13" t="str">
        <f t="shared" ca="1" si="21"/>
        <v>No ruin</v>
      </c>
      <c r="F294">
        <f t="shared" ca="1" si="22"/>
        <v>0</v>
      </c>
    </row>
    <row r="295" spans="1:6">
      <c r="A295" s="3" t="str">
        <f t="shared" ca="1" si="24"/>
        <v/>
      </c>
      <c r="B295" s="2" t="str">
        <f t="shared" ca="1" si="25"/>
        <v/>
      </c>
      <c r="C295" s="2" t="str">
        <f ca="1">IF(E294="continue",SUM(B$8:B295),"")</f>
        <v/>
      </c>
      <c r="D295" s="1" t="str">
        <f t="shared" ca="1" si="23"/>
        <v/>
      </c>
      <c r="E295" s="13" t="str">
        <f t="shared" ca="1" si="21"/>
        <v>No ruin</v>
      </c>
      <c r="F295">
        <f t="shared" ca="1" si="22"/>
        <v>0</v>
      </c>
    </row>
    <row r="296" spans="1:6">
      <c r="A296" s="3" t="str">
        <f t="shared" ca="1" si="24"/>
        <v/>
      </c>
      <c r="B296" s="2" t="str">
        <f t="shared" ca="1" si="25"/>
        <v/>
      </c>
      <c r="C296" s="2" t="str">
        <f ca="1">IF(E295="continue",SUM(B$8:B296),"")</f>
        <v/>
      </c>
      <c r="D296" s="1" t="str">
        <f t="shared" ca="1" si="23"/>
        <v/>
      </c>
      <c r="E296" s="13" t="str">
        <f t="shared" ca="1" si="21"/>
        <v>No ruin</v>
      </c>
      <c r="F296">
        <f t="shared" ca="1" si="22"/>
        <v>0</v>
      </c>
    </row>
    <row r="297" spans="1:6">
      <c r="A297" s="3" t="str">
        <f t="shared" ca="1" si="24"/>
        <v/>
      </c>
      <c r="B297" s="2" t="str">
        <f t="shared" ca="1" si="25"/>
        <v/>
      </c>
      <c r="C297" s="2" t="str">
        <f ca="1">IF(E296="continue",SUM(B$8:B297),"")</f>
        <v/>
      </c>
      <c r="D297" s="1" t="str">
        <f t="shared" ca="1" si="23"/>
        <v/>
      </c>
      <c r="E297" s="13" t="str">
        <f t="shared" ca="1" si="21"/>
        <v>No ruin</v>
      </c>
      <c r="F297">
        <f t="shared" ca="1" si="22"/>
        <v>0</v>
      </c>
    </row>
    <row r="298" spans="1:6">
      <c r="A298" s="3" t="str">
        <f t="shared" ca="1" si="24"/>
        <v/>
      </c>
      <c r="B298" s="2" t="str">
        <f t="shared" ca="1" si="25"/>
        <v/>
      </c>
      <c r="C298" s="2" t="str">
        <f ca="1">IF(E297="continue",SUM(B$8:B298),"")</f>
        <v/>
      </c>
      <c r="D298" s="1" t="str">
        <f t="shared" ca="1" si="23"/>
        <v/>
      </c>
      <c r="E298" s="13" t="str">
        <f t="shared" ca="1" si="21"/>
        <v>No ruin</v>
      </c>
      <c r="F298">
        <f t="shared" ca="1" si="22"/>
        <v>0</v>
      </c>
    </row>
    <row r="299" spans="1:6">
      <c r="A299" s="3" t="str">
        <f t="shared" ca="1" si="24"/>
        <v/>
      </c>
      <c r="B299" s="2" t="str">
        <f t="shared" ca="1" si="25"/>
        <v/>
      </c>
      <c r="C299" s="2" t="str">
        <f ca="1">IF(E298="continue",SUM(B$8:B299),"")</f>
        <v/>
      </c>
      <c r="D299" s="1" t="str">
        <f t="shared" ca="1" si="23"/>
        <v/>
      </c>
      <c r="E299" s="13" t="str">
        <f t="shared" ca="1" si="21"/>
        <v>No ruin</v>
      </c>
      <c r="F299">
        <f t="shared" ca="1" si="22"/>
        <v>0</v>
      </c>
    </row>
    <row r="300" spans="1:6">
      <c r="A300" s="3" t="str">
        <f t="shared" ca="1" si="24"/>
        <v/>
      </c>
      <c r="B300" s="2" t="str">
        <f t="shared" ca="1" si="25"/>
        <v/>
      </c>
      <c r="C300" s="2" t="str">
        <f ca="1">IF(E299="continue",SUM(B$8:B300),"")</f>
        <v/>
      </c>
      <c r="D300" s="1" t="str">
        <f t="shared" ca="1" si="23"/>
        <v/>
      </c>
      <c r="E300" s="13" t="str">
        <f t="shared" ca="1" si="21"/>
        <v>No ruin</v>
      </c>
      <c r="F300">
        <f t="shared" ca="1" si="22"/>
        <v>0</v>
      </c>
    </row>
    <row r="301" spans="1:6">
      <c r="A301" s="3" t="str">
        <f t="shared" ca="1" si="24"/>
        <v/>
      </c>
      <c r="B301" s="2" t="str">
        <f t="shared" ca="1" si="25"/>
        <v/>
      </c>
      <c r="C301" s="2" t="str">
        <f ca="1">IF(E300="continue",SUM(B$8:B301),"")</f>
        <v/>
      </c>
      <c r="D301" s="1" t="str">
        <f t="shared" ca="1" si="23"/>
        <v/>
      </c>
      <c r="E301" s="13" t="str">
        <f t="shared" ca="1" si="21"/>
        <v>No ruin</v>
      </c>
      <c r="F301">
        <f t="shared" ca="1" si="22"/>
        <v>0</v>
      </c>
    </row>
    <row r="302" spans="1:6">
      <c r="A302" s="3" t="str">
        <f t="shared" ca="1" si="24"/>
        <v/>
      </c>
      <c r="B302" s="2" t="str">
        <f t="shared" ca="1" si="25"/>
        <v/>
      </c>
      <c r="C302" s="2" t="str">
        <f ca="1">IF(E301="continue",SUM(B$8:B302),"")</f>
        <v/>
      </c>
      <c r="D302" s="1" t="str">
        <f t="shared" ca="1" si="23"/>
        <v/>
      </c>
      <c r="E302" s="13" t="str">
        <f t="shared" ca="1" si="21"/>
        <v>No ruin</v>
      </c>
      <c r="F302">
        <f t="shared" ca="1" si="22"/>
        <v>0</v>
      </c>
    </row>
    <row r="303" spans="1:6">
      <c r="A303" s="3" t="str">
        <f t="shared" ca="1" si="24"/>
        <v/>
      </c>
      <c r="B303" s="2" t="str">
        <f t="shared" ca="1" si="25"/>
        <v/>
      </c>
      <c r="C303" s="2" t="str">
        <f ca="1">IF(E302="continue",SUM(B$8:B303),"")</f>
        <v/>
      </c>
      <c r="D303" s="1" t="str">
        <f t="shared" ca="1" si="23"/>
        <v/>
      </c>
      <c r="E303" s="13" t="str">
        <f t="shared" ca="1" si="21"/>
        <v>No ruin</v>
      </c>
      <c r="F303">
        <f t="shared" ca="1" si="22"/>
        <v>0</v>
      </c>
    </row>
    <row r="304" spans="1:6">
      <c r="A304" s="3" t="str">
        <f t="shared" ca="1" si="24"/>
        <v/>
      </c>
      <c r="B304" s="2" t="str">
        <f t="shared" ca="1" si="25"/>
        <v/>
      </c>
      <c r="C304" s="2" t="str">
        <f ca="1">IF(E303="continue",SUM(B$8:B304),"")</f>
        <v/>
      </c>
      <c r="D304" s="1" t="str">
        <f t="shared" ca="1" si="23"/>
        <v/>
      </c>
      <c r="E304" s="13" t="str">
        <f t="shared" ca="1" si="21"/>
        <v>No ruin</v>
      </c>
      <c r="F304">
        <f t="shared" ca="1" si="22"/>
        <v>0</v>
      </c>
    </row>
    <row r="305" spans="1:6">
      <c r="A305" s="3" t="str">
        <f t="shared" ca="1" si="24"/>
        <v/>
      </c>
      <c r="B305" s="2" t="str">
        <f t="shared" ca="1" si="25"/>
        <v/>
      </c>
      <c r="C305" s="2" t="str">
        <f ca="1">IF(E304="continue",SUM(B$8:B305),"")</f>
        <v/>
      </c>
      <c r="D305" s="1" t="str">
        <f t="shared" ca="1" si="23"/>
        <v/>
      </c>
      <c r="E305" s="13" t="str">
        <f t="shared" ca="1" si="21"/>
        <v>No ruin</v>
      </c>
      <c r="F305">
        <f t="shared" ca="1" si="22"/>
        <v>0</v>
      </c>
    </row>
    <row r="306" spans="1:6">
      <c r="A306" s="3" t="str">
        <f t="shared" ca="1" si="24"/>
        <v/>
      </c>
      <c r="B306" s="2" t="str">
        <f t="shared" ca="1" si="25"/>
        <v/>
      </c>
      <c r="C306" s="2" t="str">
        <f ca="1">IF(E305="continue",SUM(B$8:B306),"")</f>
        <v/>
      </c>
      <c r="D306" s="1" t="str">
        <f t="shared" ca="1" si="23"/>
        <v/>
      </c>
      <c r="E306" s="13" t="str">
        <f t="shared" ca="1" si="21"/>
        <v>No ruin</v>
      </c>
      <c r="F306">
        <f t="shared" ca="1" si="22"/>
        <v>0</v>
      </c>
    </row>
    <row r="307" spans="1:6">
      <c r="A307" s="3" t="str">
        <f t="shared" ca="1" si="24"/>
        <v/>
      </c>
      <c r="B307" s="2" t="str">
        <f t="shared" ca="1" si="25"/>
        <v/>
      </c>
      <c r="C307" s="2" t="str">
        <f ca="1">IF(E306="continue",SUM(B$8:B307),"")</f>
        <v/>
      </c>
      <c r="D307" s="1" t="str">
        <f t="shared" ca="1" si="23"/>
        <v/>
      </c>
      <c r="E307" s="13" t="str">
        <f t="shared" ca="1" si="21"/>
        <v>No ruin</v>
      </c>
      <c r="F307">
        <f t="shared" ca="1" si="22"/>
        <v>0</v>
      </c>
    </row>
    <row r="308" spans="1:6">
      <c r="A308" s="3" t="str">
        <f t="shared" ca="1" si="24"/>
        <v/>
      </c>
      <c r="B308" s="2" t="str">
        <f t="shared" ca="1" si="25"/>
        <v/>
      </c>
      <c r="C308" s="2" t="str">
        <f ca="1">IF(E307="continue",SUM(B$8:B308),"")</f>
        <v/>
      </c>
      <c r="D308" s="1" t="str">
        <f t="shared" ca="1" si="23"/>
        <v/>
      </c>
      <c r="E308" s="13" t="str">
        <f t="shared" ca="1" si="21"/>
        <v>No ruin</v>
      </c>
      <c r="F308">
        <f t="shared" ca="1" si="22"/>
        <v>0</v>
      </c>
    </row>
    <row r="309" spans="1:6">
      <c r="A309" s="3" t="str">
        <f t="shared" ca="1" si="24"/>
        <v/>
      </c>
      <c r="B309" s="2" t="str">
        <f t="shared" ca="1" si="25"/>
        <v/>
      </c>
      <c r="C309" s="2" t="str">
        <f ca="1">IF(E308="continue",SUM(B$8:B309),"")</f>
        <v/>
      </c>
      <c r="D309" s="1" t="str">
        <f t="shared" ca="1" si="23"/>
        <v/>
      </c>
      <c r="E309" s="13" t="str">
        <f t="shared" ca="1" si="21"/>
        <v>No ruin</v>
      </c>
      <c r="F309">
        <f t="shared" ca="1" si="22"/>
        <v>0</v>
      </c>
    </row>
    <row r="310" spans="1:6">
      <c r="A310" s="3" t="str">
        <f t="shared" ca="1" si="24"/>
        <v/>
      </c>
      <c r="B310" s="2" t="str">
        <f t="shared" ca="1" si="25"/>
        <v/>
      </c>
      <c r="C310" s="2" t="str">
        <f ca="1">IF(E309="continue",SUM(B$8:B310),"")</f>
        <v/>
      </c>
      <c r="D310" s="1" t="str">
        <f t="shared" ca="1" si="23"/>
        <v/>
      </c>
      <c r="E310" s="13" t="str">
        <f t="shared" ca="1" si="21"/>
        <v>No ruin</v>
      </c>
      <c r="F310">
        <f t="shared" ca="1" si="22"/>
        <v>0</v>
      </c>
    </row>
    <row r="311" spans="1:6">
      <c r="A311" s="3" t="str">
        <f t="shared" ca="1" si="24"/>
        <v/>
      </c>
      <c r="B311" s="2" t="str">
        <f t="shared" ca="1" si="25"/>
        <v/>
      </c>
      <c r="C311" s="2" t="str">
        <f ca="1">IF(E310="continue",SUM(B$8:B311),"")</f>
        <v/>
      </c>
      <c r="D311" s="1" t="str">
        <f t="shared" ca="1" si="23"/>
        <v/>
      </c>
      <c r="E311" s="13" t="str">
        <f t="shared" ca="1" si="21"/>
        <v>No ruin</v>
      </c>
      <c r="F311">
        <f t="shared" ca="1" si="22"/>
        <v>0</v>
      </c>
    </row>
    <row r="312" spans="1:6">
      <c r="A312" s="3" t="str">
        <f t="shared" ca="1" si="24"/>
        <v/>
      </c>
      <c r="B312" s="2" t="str">
        <f t="shared" ca="1" si="25"/>
        <v/>
      </c>
      <c r="C312" s="2" t="str">
        <f ca="1">IF(E311="continue",SUM(B$8:B312),"")</f>
        <v/>
      </c>
      <c r="D312" s="1" t="str">
        <f t="shared" ca="1" si="23"/>
        <v/>
      </c>
      <c r="E312" s="13" t="str">
        <f t="shared" ca="1" si="21"/>
        <v>No ruin</v>
      </c>
      <c r="F312">
        <f t="shared" ca="1" si="22"/>
        <v>0</v>
      </c>
    </row>
    <row r="313" spans="1:6">
      <c r="A313" s="3" t="str">
        <f t="shared" ca="1" si="24"/>
        <v/>
      </c>
      <c r="B313" s="2" t="str">
        <f t="shared" ca="1" si="25"/>
        <v/>
      </c>
      <c r="C313" s="2" t="str">
        <f ca="1">IF(E312="continue",SUM(B$8:B313),"")</f>
        <v/>
      </c>
      <c r="D313" s="1" t="str">
        <f t="shared" ca="1" si="23"/>
        <v/>
      </c>
      <c r="E313" s="13" t="str">
        <f t="shared" ca="1" si="21"/>
        <v>No ruin</v>
      </c>
      <c r="F313">
        <f t="shared" ca="1" si="22"/>
        <v>0</v>
      </c>
    </row>
    <row r="314" spans="1:6">
      <c r="A314" s="3" t="str">
        <f t="shared" ca="1" si="24"/>
        <v/>
      </c>
      <c r="B314" s="2" t="str">
        <f t="shared" ca="1" si="25"/>
        <v/>
      </c>
      <c r="C314" s="2" t="str">
        <f ca="1">IF(E313="continue",SUM(B$8:B314),"")</f>
        <v/>
      </c>
      <c r="D314" s="1" t="str">
        <f t="shared" ca="1" si="23"/>
        <v/>
      </c>
      <c r="E314" s="13" t="str">
        <f t="shared" ca="1" si="21"/>
        <v>No ruin</v>
      </c>
      <c r="F314">
        <f t="shared" ca="1" si="22"/>
        <v>0</v>
      </c>
    </row>
    <row r="315" spans="1:6">
      <c r="A315" s="3" t="str">
        <f t="shared" ca="1" si="24"/>
        <v/>
      </c>
      <c r="B315" s="2" t="str">
        <f t="shared" ca="1" si="25"/>
        <v/>
      </c>
      <c r="C315" s="2" t="str">
        <f ca="1">IF(E314="continue",SUM(B$8:B315),"")</f>
        <v/>
      </c>
      <c r="D315" s="1" t="str">
        <f t="shared" ca="1" si="23"/>
        <v/>
      </c>
      <c r="E315" s="13" t="str">
        <f t="shared" ca="1" si="21"/>
        <v>No ruin</v>
      </c>
      <c r="F315">
        <f t="shared" ca="1" si="22"/>
        <v>0</v>
      </c>
    </row>
    <row r="316" spans="1:6">
      <c r="A316" s="3" t="str">
        <f t="shared" ca="1" si="24"/>
        <v/>
      </c>
      <c r="B316" s="2" t="str">
        <f t="shared" ca="1" si="25"/>
        <v/>
      </c>
      <c r="C316" s="2" t="str">
        <f ca="1">IF(E315="continue",SUM(B$8:B316),"")</f>
        <v/>
      </c>
      <c r="D316" s="1" t="str">
        <f t="shared" ca="1" si="23"/>
        <v/>
      </c>
      <c r="E316" s="13" t="str">
        <f t="shared" ca="1" si="21"/>
        <v>No ruin</v>
      </c>
      <c r="F316">
        <f t="shared" ca="1" si="22"/>
        <v>0</v>
      </c>
    </row>
    <row r="317" spans="1:6">
      <c r="A317" s="3" t="str">
        <f t="shared" ca="1" si="24"/>
        <v/>
      </c>
      <c r="B317" s="2" t="str">
        <f t="shared" ca="1" si="25"/>
        <v/>
      </c>
      <c r="C317" s="2" t="str">
        <f ca="1">IF(E316="continue",SUM(B$8:B317),"")</f>
        <v/>
      </c>
      <c r="D317" s="1" t="str">
        <f t="shared" ca="1" si="23"/>
        <v/>
      </c>
      <c r="E317" s="13" t="str">
        <f t="shared" ca="1" si="21"/>
        <v>No ruin</v>
      </c>
      <c r="F317">
        <f t="shared" ca="1" si="22"/>
        <v>0</v>
      </c>
    </row>
    <row r="318" spans="1:6">
      <c r="A318" s="3" t="str">
        <f t="shared" ca="1" si="24"/>
        <v/>
      </c>
      <c r="B318" s="2" t="str">
        <f t="shared" ca="1" si="25"/>
        <v/>
      </c>
      <c r="C318" s="2" t="str">
        <f ca="1">IF(E317="continue",SUM(B$8:B318),"")</f>
        <v/>
      </c>
      <c r="D318" s="1" t="str">
        <f t="shared" ca="1" si="23"/>
        <v/>
      </c>
      <c r="E318" s="13" t="str">
        <f t="shared" ca="1" si="21"/>
        <v>No ruin</v>
      </c>
      <c r="F318">
        <f t="shared" ca="1" si="22"/>
        <v>0</v>
      </c>
    </row>
    <row r="319" spans="1:6">
      <c r="A319" s="3" t="str">
        <f t="shared" ca="1" si="24"/>
        <v/>
      </c>
      <c r="B319" s="2" t="str">
        <f t="shared" ca="1" si="25"/>
        <v/>
      </c>
      <c r="C319" s="2" t="str">
        <f ca="1">IF(E318="continue",SUM(B$8:B319),"")</f>
        <v/>
      </c>
      <c r="D319" s="1" t="str">
        <f t="shared" ca="1" si="23"/>
        <v/>
      </c>
      <c r="E319" s="13" t="str">
        <f t="shared" ca="1" si="21"/>
        <v>No ruin</v>
      </c>
      <c r="F319">
        <f t="shared" ca="1" si="22"/>
        <v>0</v>
      </c>
    </row>
    <row r="320" spans="1:6">
      <c r="A320" s="3" t="str">
        <f t="shared" ca="1" si="24"/>
        <v/>
      </c>
      <c r="B320" s="2" t="str">
        <f t="shared" ca="1" si="25"/>
        <v/>
      </c>
      <c r="C320" s="2" t="str">
        <f ca="1">IF(E319="continue",SUM(B$8:B320),"")</f>
        <v/>
      </c>
      <c r="D320" s="1" t="str">
        <f t="shared" ca="1" si="23"/>
        <v/>
      </c>
      <c r="E320" s="13" t="str">
        <f t="shared" ca="1" si="21"/>
        <v>No ruin</v>
      </c>
      <c r="F320">
        <f t="shared" ca="1" si="22"/>
        <v>0</v>
      </c>
    </row>
    <row r="321" spans="1:6">
      <c r="A321" s="3" t="str">
        <f t="shared" ca="1" si="24"/>
        <v/>
      </c>
      <c r="B321" s="2" t="str">
        <f t="shared" ca="1" si="25"/>
        <v/>
      </c>
      <c r="C321" s="2" t="str">
        <f ca="1">IF(E320="continue",SUM(B$8:B321),"")</f>
        <v/>
      </c>
      <c r="D321" s="1" t="str">
        <f t="shared" ca="1" si="23"/>
        <v/>
      </c>
      <c r="E321" s="13" t="str">
        <f t="shared" ca="1" si="21"/>
        <v>No ruin</v>
      </c>
      <c r="F321">
        <f t="shared" ca="1" si="22"/>
        <v>0</v>
      </c>
    </row>
    <row r="322" spans="1:6">
      <c r="A322" s="3" t="str">
        <f t="shared" ca="1" si="24"/>
        <v/>
      </c>
      <c r="B322" s="2" t="str">
        <f t="shared" ca="1" si="25"/>
        <v/>
      </c>
      <c r="C322" s="2" t="str">
        <f ca="1">IF(E321="continue",SUM(B$8:B322),"")</f>
        <v/>
      </c>
      <c r="D322" s="1" t="str">
        <f t="shared" ca="1" si="23"/>
        <v/>
      </c>
      <c r="E322" s="13" t="str">
        <f t="shared" ca="1" si="21"/>
        <v>No ruin</v>
      </c>
      <c r="F322">
        <f t="shared" ca="1" si="22"/>
        <v>0</v>
      </c>
    </row>
    <row r="323" spans="1:6">
      <c r="A323" s="3" t="str">
        <f t="shared" ca="1" si="24"/>
        <v/>
      </c>
      <c r="B323" s="2" t="str">
        <f t="shared" ca="1" si="25"/>
        <v/>
      </c>
      <c r="C323" s="2" t="str">
        <f ca="1">IF(E322="continue",SUM(B$8:B323),"")</f>
        <v/>
      </c>
      <c r="D323" s="1" t="str">
        <f t="shared" ca="1" si="23"/>
        <v/>
      </c>
      <c r="E323" s="13" t="str">
        <f t="shared" ca="1" si="21"/>
        <v>No ruin</v>
      </c>
      <c r="F323">
        <f t="shared" ca="1" si="22"/>
        <v>0</v>
      </c>
    </row>
    <row r="324" spans="1:6">
      <c r="A324" s="3" t="str">
        <f t="shared" ca="1" si="24"/>
        <v/>
      </c>
      <c r="B324" s="2" t="str">
        <f t="shared" ca="1" si="25"/>
        <v/>
      </c>
      <c r="C324" s="2" t="str">
        <f ca="1">IF(E323="continue",SUM(B$8:B324),"")</f>
        <v/>
      </c>
      <c r="D324" s="1" t="str">
        <f t="shared" ca="1" si="23"/>
        <v/>
      </c>
      <c r="E324" s="13" t="str">
        <f t="shared" ca="1" si="21"/>
        <v>No ruin</v>
      </c>
      <c r="F324">
        <f t="shared" ca="1" si="22"/>
        <v>0</v>
      </c>
    </row>
    <row r="325" spans="1:6">
      <c r="A325" s="3" t="str">
        <f t="shared" ca="1" si="24"/>
        <v/>
      </c>
      <c r="B325" s="2" t="str">
        <f t="shared" ca="1" si="25"/>
        <v/>
      </c>
      <c r="C325" s="2" t="str">
        <f ca="1">IF(E324="continue",SUM(B$8:B325),"")</f>
        <v/>
      </c>
      <c r="D325" s="1" t="str">
        <f t="shared" ca="1" si="23"/>
        <v/>
      </c>
      <c r="E325" s="13" t="str">
        <f t="shared" ca="1" si="21"/>
        <v>No ruin</v>
      </c>
      <c r="F325">
        <f t="shared" ca="1" si="22"/>
        <v>0</v>
      </c>
    </row>
    <row r="326" spans="1:6">
      <c r="A326" s="3" t="str">
        <f t="shared" ca="1" si="24"/>
        <v/>
      </c>
      <c r="B326" s="2" t="str">
        <f t="shared" ca="1" si="25"/>
        <v/>
      </c>
      <c r="C326" s="2" t="str">
        <f ca="1">IF(E325="continue",SUM(B$8:B326),"")</f>
        <v/>
      </c>
      <c r="D326" s="1" t="str">
        <f t="shared" ca="1" si="23"/>
        <v/>
      </c>
      <c r="E326" s="13" t="str">
        <f t="shared" ca="1" si="21"/>
        <v>No ruin</v>
      </c>
      <c r="F326">
        <f t="shared" ca="1" si="22"/>
        <v>0</v>
      </c>
    </row>
    <row r="327" spans="1:6">
      <c r="A327" s="3" t="str">
        <f t="shared" ca="1" si="24"/>
        <v/>
      </c>
      <c r="B327" s="2" t="str">
        <f t="shared" ca="1" si="25"/>
        <v/>
      </c>
      <c r="C327" s="2" t="str">
        <f ca="1">IF(E326="continue",SUM(B$8:B327),"")</f>
        <v/>
      </c>
      <c r="D327" s="1" t="str">
        <f t="shared" ca="1" si="23"/>
        <v/>
      </c>
      <c r="E327" s="13" t="str">
        <f t="shared" ca="1" si="21"/>
        <v>No ruin</v>
      </c>
      <c r="F327">
        <f t="shared" ca="1" si="22"/>
        <v>0</v>
      </c>
    </row>
    <row r="328" spans="1:6">
      <c r="A328" s="3" t="str">
        <f t="shared" ca="1" si="24"/>
        <v/>
      </c>
      <c r="B328" s="2" t="str">
        <f t="shared" ca="1" si="25"/>
        <v/>
      </c>
      <c r="C328" s="2" t="str">
        <f ca="1">IF(E327="continue",SUM(B$8:B328),"")</f>
        <v/>
      </c>
      <c r="D328" s="1" t="str">
        <f t="shared" ca="1" si="23"/>
        <v/>
      </c>
      <c r="E328" s="13" t="str">
        <f t="shared" ca="1" si="21"/>
        <v>No ruin</v>
      </c>
      <c r="F328">
        <f t="shared" ca="1" si="22"/>
        <v>0</v>
      </c>
    </row>
    <row r="329" spans="1:6">
      <c r="A329" s="3" t="str">
        <f t="shared" ca="1" si="24"/>
        <v/>
      </c>
      <c r="B329" s="2" t="str">
        <f t="shared" ca="1" si="25"/>
        <v/>
      </c>
      <c r="C329" s="2" t="str">
        <f ca="1">IF(E328="continue",SUM(B$8:B329),"")</f>
        <v/>
      </c>
      <c r="D329" s="1" t="str">
        <f t="shared" ca="1" si="23"/>
        <v/>
      </c>
      <c r="E329" s="13" t="str">
        <f t="shared" ca="1" si="21"/>
        <v>No ruin</v>
      </c>
      <c r="F329">
        <f t="shared" ca="1" si="22"/>
        <v>0</v>
      </c>
    </row>
    <row r="330" spans="1:6">
      <c r="A330" s="3" t="str">
        <f t="shared" ca="1" si="24"/>
        <v/>
      </c>
      <c r="B330" s="2" t="str">
        <f t="shared" ca="1" si="25"/>
        <v/>
      </c>
      <c r="C330" s="2" t="str">
        <f ca="1">IF(E329="continue",SUM(B$8:B330),"")</f>
        <v/>
      </c>
      <c r="D330" s="1" t="str">
        <f t="shared" ca="1" si="23"/>
        <v/>
      </c>
      <c r="E330" s="13" t="str">
        <f t="shared" ref="E330:E393" ca="1" si="26">IF(A330&gt;G$1,"No ruin",IF(AND(A330&lt;=G$1,C330&gt;J$4+D330),"RUIN","continue"))</f>
        <v>No ruin</v>
      </c>
      <c r="F330">
        <f t="shared" ref="F330:F393" ca="1" si="27">IF(E330="RUIN",1,0)</f>
        <v>0</v>
      </c>
    </row>
    <row r="331" spans="1:6">
      <c r="A331" s="3" t="str">
        <f t="shared" ca="1" si="24"/>
        <v/>
      </c>
      <c r="B331" s="2" t="str">
        <f t="shared" ca="1" si="25"/>
        <v/>
      </c>
      <c r="C331" s="2" t="str">
        <f ca="1">IF(E330="continue",SUM(B$8:B331),"")</f>
        <v/>
      </c>
      <c r="D331" s="1" t="str">
        <f t="shared" ref="D331:D394" ca="1" si="28">IF(E330="continue",(1+J$1)*(1/O$3)*M$3*A331,"")</f>
        <v/>
      </c>
      <c r="E331" s="13" t="str">
        <f t="shared" ca="1" si="26"/>
        <v>No ruin</v>
      </c>
      <c r="F331">
        <f t="shared" ca="1" si="27"/>
        <v>0</v>
      </c>
    </row>
    <row r="332" spans="1:6">
      <c r="A332" s="3" t="str">
        <f t="shared" ref="A332:A395" ca="1" si="29">IF(E331="continue",-LN(1-RAND())*O$3+A331,"")</f>
        <v/>
      </c>
      <c r="B332" s="2" t="str">
        <f t="shared" ref="B332:B395" ca="1" si="30">IF(E331="continue",-LN(1-RAND())*M$3,"")</f>
        <v/>
      </c>
      <c r="C332" s="2" t="str">
        <f ca="1">IF(E331="continue",SUM(B$8:B332),"")</f>
        <v/>
      </c>
      <c r="D332" s="1" t="str">
        <f t="shared" ca="1" si="28"/>
        <v/>
      </c>
      <c r="E332" s="13" t="str">
        <f t="shared" ca="1" si="26"/>
        <v>No ruin</v>
      </c>
      <c r="F332">
        <f t="shared" ca="1" si="27"/>
        <v>0</v>
      </c>
    </row>
    <row r="333" spans="1:6">
      <c r="A333" s="3" t="str">
        <f t="shared" ca="1" si="29"/>
        <v/>
      </c>
      <c r="B333" s="2" t="str">
        <f t="shared" ca="1" si="30"/>
        <v/>
      </c>
      <c r="C333" s="2" t="str">
        <f ca="1">IF(E332="continue",SUM(B$8:B333),"")</f>
        <v/>
      </c>
      <c r="D333" s="1" t="str">
        <f t="shared" ca="1" si="28"/>
        <v/>
      </c>
      <c r="E333" s="13" t="str">
        <f t="shared" ca="1" si="26"/>
        <v>No ruin</v>
      </c>
      <c r="F333">
        <f t="shared" ca="1" si="27"/>
        <v>0</v>
      </c>
    </row>
    <row r="334" spans="1:6">
      <c r="A334" s="3" t="str">
        <f t="shared" ca="1" si="29"/>
        <v/>
      </c>
      <c r="B334" s="2" t="str">
        <f t="shared" ca="1" si="30"/>
        <v/>
      </c>
      <c r="C334" s="2" t="str">
        <f ca="1">IF(E333="continue",SUM(B$8:B334),"")</f>
        <v/>
      </c>
      <c r="D334" s="1" t="str">
        <f t="shared" ca="1" si="28"/>
        <v/>
      </c>
      <c r="E334" s="13" t="str">
        <f t="shared" ca="1" si="26"/>
        <v>No ruin</v>
      </c>
      <c r="F334">
        <f t="shared" ca="1" si="27"/>
        <v>0</v>
      </c>
    </row>
    <row r="335" spans="1:6">
      <c r="A335" s="3" t="str">
        <f t="shared" ca="1" si="29"/>
        <v/>
      </c>
      <c r="B335" s="2" t="str">
        <f t="shared" ca="1" si="30"/>
        <v/>
      </c>
      <c r="C335" s="2" t="str">
        <f ca="1">IF(E334="continue",SUM(B$8:B335),"")</f>
        <v/>
      </c>
      <c r="D335" s="1" t="str">
        <f t="shared" ca="1" si="28"/>
        <v/>
      </c>
      <c r="E335" s="13" t="str">
        <f t="shared" ca="1" si="26"/>
        <v>No ruin</v>
      </c>
      <c r="F335">
        <f t="shared" ca="1" si="27"/>
        <v>0</v>
      </c>
    </row>
    <row r="336" spans="1:6">
      <c r="A336" s="3" t="str">
        <f t="shared" ca="1" si="29"/>
        <v/>
      </c>
      <c r="B336" s="2" t="str">
        <f t="shared" ca="1" si="30"/>
        <v/>
      </c>
      <c r="C336" s="2" t="str">
        <f ca="1">IF(E335="continue",SUM(B$8:B336),"")</f>
        <v/>
      </c>
      <c r="D336" s="1" t="str">
        <f t="shared" ca="1" si="28"/>
        <v/>
      </c>
      <c r="E336" s="13" t="str">
        <f t="shared" ca="1" si="26"/>
        <v>No ruin</v>
      </c>
      <c r="F336">
        <f t="shared" ca="1" si="27"/>
        <v>0</v>
      </c>
    </row>
    <row r="337" spans="1:6">
      <c r="A337" s="3" t="str">
        <f t="shared" ca="1" si="29"/>
        <v/>
      </c>
      <c r="B337" s="2" t="str">
        <f t="shared" ca="1" si="30"/>
        <v/>
      </c>
      <c r="C337" s="2" t="str">
        <f ca="1">IF(E336="continue",SUM(B$8:B337),"")</f>
        <v/>
      </c>
      <c r="D337" s="1" t="str">
        <f t="shared" ca="1" si="28"/>
        <v/>
      </c>
      <c r="E337" s="13" t="str">
        <f t="shared" ca="1" si="26"/>
        <v>No ruin</v>
      </c>
      <c r="F337">
        <f t="shared" ca="1" si="27"/>
        <v>0</v>
      </c>
    </row>
    <row r="338" spans="1:6">
      <c r="A338" s="3" t="str">
        <f t="shared" ca="1" si="29"/>
        <v/>
      </c>
      <c r="B338" s="2" t="str">
        <f t="shared" ca="1" si="30"/>
        <v/>
      </c>
      <c r="C338" s="2" t="str">
        <f ca="1">IF(E337="continue",SUM(B$8:B338),"")</f>
        <v/>
      </c>
      <c r="D338" s="1" t="str">
        <f t="shared" ca="1" si="28"/>
        <v/>
      </c>
      <c r="E338" s="13" t="str">
        <f t="shared" ca="1" si="26"/>
        <v>No ruin</v>
      </c>
      <c r="F338">
        <f t="shared" ca="1" si="27"/>
        <v>0</v>
      </c>
    </row>
    <row r="339" spans="1:6">
      <c r="A339" s="3" t="str">
        <f t="shared" ca="1" si="29"/>
        <v/>
      </c>
      <c r="B339" s="2" t="str">
        <f t="shared" ca="1" si="30"/>
        <v/>
      </c>
      <c r="C339" s="2" t="str">
        <f ca="1">IF(E338="continue",SUM(B$8:B339),"")</f>
        <v/>
      </c>
      <c r="D339" s="1" t="str">
        <f t="shared" ca="1" si="28"/>
        <v/>
      </c>
      <c r="E339" s="13" t="str">
        <f t="shared" ca="1" si="26"/>
        <v>No ruin</v>
      </c>
      <c r="F339">
        <f t="shared" ca="1" si="27"/>
        <v>0</v>
      </c>
    </row>
    <row r="340" spans="1:6">
      <c r="A340" s="3" t="str">
        <f t="shared" ca="1" si="29"/>
        <v/>
      </c>
      <c r="B340" s="2" t="str">
        <f t="shared" ca="1" si="30"/>
        <v/>
      </c>
      <c r="C340" s="2" t="str">
        <f ca="1">IF(E339="continue",SUM(B$8:B340),"")</f>
        <v/>
      </c>
      <c r="D340" s="1" t="str">
        <f t="shared" ca="1" si="28"/>
        <v/>
      </c>
      <c r="E340" s="13" t="str">
        <f t="shared" ca="1" si="26"/>
        <v>No ruin</v>
      </c>
      <c r="F340">
        <f t="shared" ca="1" si="27"/>
        <v>0</v>
      </c>
    </row>
    <row r="341" spans="1:6">
      <c r="A341" s="3" t="str">
        <f t="shared" ca="1" si="29"/>
        <v/>
      </c>
      <c r="B341" s="2" t="str">
        <f t="shared" ca="1" si="30"/>
        <v/>
      </c>
      <c r="C341" s="2" t="str">
        <f ca="1">IF(E340="continue",SUM(B$8:B341),"")</f>
        <v/>
      </c>
      <c r="D341" s="1" t="str">
        <f t="shared" ca="1" si="28"/>
        <v/>
      </c>
      <c r="E341" s="13" t="str">
        <f t="shared" ca="1" si="26"/>
        <v>No ruin</v>
      </c>
      <c r="F341">
        <f t="shared" ca="1" si="27"/>
        <v>0</v>
      </c>
    </row>
    <row r="342" spans="1:6">
      <c r="A342" s="3" t="str">
        <f t="shared" ca="1" si="29"/>
        <v/>
      </c>
      <c r="B342" s="2" t="str">
        <f t="shared" ca="1" si="30"/>
        <v/>
      </c>
      <c r="C342" s="2" t="str">
        <f ca="1">IF(E341="continue",SUM(B$8:B342),"")</f>
        <v/>
      </c>
      <c r="D342" s="1" t="str">
        <f t="shared" ca="1" si="28"/>
        <v/>
      </c>
      <c r="E342" s="13" t="str">
        <f t="shared" ca="1" si="26"/>
        <v>No ruin</v>
      </c>
      <c r="F342">
        <f t="shared" ca="1" si="27"/>
        <v>0</v>
      </c>
    </row>
    <row r="343" spans="1:6">
      <c r="A343" s="3" t="str">
        <f t="shared" ca="1" si="29"/>
        <v/>
      </c>
      <c r="B343" s="2" t="str">
        <f t="shared" ca="1" si="30"/>
        <v/>
      </c>
      <c r="C343" s="2" t="str">
        <f ca="1">IF(E342="continue",SUM(B$8:B343),"")</f>
        <v/>
      </c>
      <c r="D343" s="1" t="str">
        <f t="shared" ca="1" si="28"/>
        <v/>
      </c>
      <c r="E343" s="13" t="str">
        <f t="shared" ca="1" si="26"/>
        <v>No ruin</v>
      </c>
      <c r="F343">
        <f t="shared" ca="1" si="27"/>
        <v>0</v>
      </c>
    </row>
    <row r="344" spans="1:6">
      <c r="A344" s="3" t="str">
        <f t="shared" ca="1" si="29"/>
        <v/>
      </c>
      <c r="B344" s="2" t="str">
        <f t="shared" ca="1" si="30"/>
        <v/>
      </c>
      <c r="C344" s="2" t="str">
        <f ca="1">IF(E343="continue",SUM(B$8:B344),"")</f>
        <v/>
      </c>
      <c r="D344" s="1" t="str">
        <f t="shared" ca="1" si="28"/>
        <v/>
      </c>
      <c r="E344" s="13" t="str">
        <f t="shared" ca="1" si="26"/>
        <v>No ruin</v>
      </c>
      <c r="F344">
        <f t="shared" ca="1" si="27"/>
        <v>0</v>
      </c>
    </row>
    <row r="345" spans="1:6">
      <c r="A345" s="3" t="str">
        <f t="shared" ca="1" si="29"/>
        <v/>
      </c>
      <c r="B345" s="2" t="str">
        <f t="shared" ca="1" si="30"/>
        <v/>
      </c>
      <c r="C345" s="2" t="str">
        <f ca="1">IF(E344="continue",SUM(B$8:B345),"")</f>
        <v/>
      </c>
      <c r="D345" s="1" t="str">
        <f t="shared" ca="1" si="28"/>
        <v/>
      </c>
      <c r="E345" s="13" t="str">
        <f t="shared" ca="1" si="26"/>
        <v>No ruin</v>
      </c>
      <c r="F345">
        <f t="shared" ca="1" si="27"/>
        <v>0</v>
      </c>
    </row>
    <row r="346" spans="1:6">
      <c r="A346" s="3" t="str">
        <f t="shared" ca="1" si="29"/>
        <v/>
      </c>
      <c r="B346" s="2" t="str">
        <f t="shared" ca="1" si="30"/>
        <v/>
      </c>
      <c r="C346" s="2" t="str">
        <f ca="1">IF(E345="continue",SUM(B$8:B346),"")</f>
        <v/>
      </c>
      <c r="D346" s="1" t="str">
        <f t="shared" ca="1" si="28"/>
        <v/>
      </c>
      <c r="E346" s="13" t="str">
        <f t="shared" ca="1" si="26"/>
        <v>No ruin</v>
      </c>
      <c r="F346">
        <f t="shared" ca="1" si="27"/>
        <v>0</v>
      </c>
    </row>
    <row r="347" spans="1:6">
      <c r="A347" s="3" t="str">
        <f t="shared" ca="1" si="29"/>
        <v/>
      </c>
      <c r="B347" s="2" t="str">
        <f t="shared" ca="1" si="30"/>
        <v/>
      </c>
      <c r="C347" s="2" t="str">
        <f ca="1">IF(E346="continue",SUM(B$8:B347),"")</f>
        <v/>
      </c>
      <c r="D347" s="1" t="str">
        <f t="shared" ca="1" si="28"/>
        <v/>
      </c>
      <c r="E347" s="13" t="str">
        <f t="shared" ca="1" si="26"/>
        <v>No ruin</v>
      </c>
      <c r="F347">
        <f t="shared" ca="1" si="27"/>
        <v>0</v>
      </c>
    </row>
    <row r="348" spans="1:6">
      <c r="A348" s="3" t="str">
        <f t="shared" ca="1" si="29"/>
        <v/>
      </c>
      <c r="B348" s="2" t="str">
        <f t="shared" ca="1" si="30"/>
        <v/>
      </c>
      <c r="C348" s="2" t="str">
        <f ca="1">IF(E347="continue",SUM(B$8:B348),"")</f>
        <v/>
      </c>
      <c r="D348" s="1" t="str">
        <f t="shared" ca="1" si="28"/>
        <v/>
      </c>
      <c r="E348" s="13" t="str">
        <f t="shared" ca="1" si="26"/>
        <v>No ruin</v>
      </c>
      <c r="F348">
        <f t="shared" ca="1" si="27"/>
        <v>0</v>
      </c>
    </row>
    <row r="349" spans="1:6">
      <c r="A349" s="3" t="str">
        <f t="shared" ca="1" si="29"/>
        <v/>
      </c>
      <c r="B349" s="2" t="str">
        <f t="shared" ca="1" si="30"/>
        <v/>
      </c>
      <c r="C349" s="2" t="str">
        <f ca="1">IF(E348="continue",SUM(B$8:B349),"")</f>
        <v/>
      </c>
      <c r="D349" s="1" t="str">
        <f t="shared" ca="1" si="28"/>
        <v/>
      </c>
      <c r="E349" s="13" t="str">
        <f t="shared" ca="1" si="26"/>
        <v>No ruin</v>
      </c>
      <c r="F349">
        <f t="shared" ca="1" si="27"/>
        <v>0</v>
      </c>
    </row>
    <row r="350" spans="1:6">
      <c r="A350" s="3" t="str">
        <f t="shared" ca="1" si="29"/>
        <v/>
      </c>
      <c r="B350" s="2" t="str">
        <f t="shared" ca="1" si="30"/>
        <v/>
      </c>
      <c r="C350" s="2" t="str">
        <f ca="1">IF(E349="continue",SUM(B$8:B350),"")</f>
        <v/>
      </c>
      <c r="D350" s="1" t="str">
        <f t="shared" ca="1" si="28"/>
        <v/>
      </c>
      <c r="E350" s="13" t="str">
        <f t="shared" ca="1" si="26"/>
        <v>No ruin</v>
      </c>
      <c r="F350">
        <f t="shared" ca="1" si="27"/>
        <v>0</v>
      </c>
    </row>
    <row r="351" spans="1:6">
      <c r="A351" s="3" t="str">
        <f t="shared" ca="1" si="29"/>
        <v/>
      </c>
      <c r="B351" s="2" t="str">
        <f t="shared" ca="1" si="30"/>
        <v/>
      </c>
      <c r="C351" s="2" t="str">
        <f ca="1">IF(E350="continue",SUM(B$8:B351),"")</f>
        <v/>
      </c>
      <c r="D351" s="1" t="str">
        <f t="shared" ca="1" si="28"/>
        <v/>
      </c>
      <c r="E351" s="13" t="str">
        <f t="shared" ca="1" si="26"/>
        <v>No ruin</v>
      </c>
      <c r="F351">
        <f t="shared" ca="1" si="27"/>
        <v>0</v>
      </c>
    </row>
    <row r="352" spans="1:6">
      <c r="A352" s="3" t="str">
        <f t="shared" ca="1" si="29"/>
        <v/>
      </c>
      <c r="B352" s="2" t="str">
        <f t="shared" ca="1" si="30"/>
        <v/>
      </c>
      <c r="C352" s="2" t="str">
        <f ca="1">IF(E351="continue",SUM(B$8:B352),"")</f>
        <v/>
      </c>
      <c r="D352" s="1" t="str">
        <f t="shared" ca="1" si="28"/>
        <v/>
      </c>
      <c r="E352" s="13" t="str">
        <f t="shared" ca="1" si="26"/>
        <v>No ruin</v>
      </c>
      <c r="F352">
        <f t="shared" ca="1" si="27"/>
        <v>0</v>
      </c>
    </row>
    <row r="353" spans="1:6">
      <c r="A353" s="3" t="str">
        <f t="shared" ca="1" si="29"/>
        <v/>
      </c>
      <c r="B353" s="2" t="str">
        <f t="shared" ca="1" si="30"/>
        <v/>
      </c>
      <c r="C353" s="2" t="str">
        <f ca="1">IF(E352="continue",SUM(B$8:B353),"")</f>
        <v/>
      </c>
      <c r="D353" s="1" t="str">
        <f t="shared" ca="1" si="28"/>
        <v/>
      </c>
      <c r="E353" s="13" t="str">
        <f t="shared" ca="1" si="26"/>
        <v>No ruin</v>
      </c>
      <c r="F353">
        <f t="shared" ca="1" si="27"/>
        <v>0</v>
      </c>
    </row>
    <row r="354" spans="1:6">
      <c r="A354" s="3" t="str">
        <f t="shared" ca="1" si="29"/>
        <v/>
      </c>
      <c r="B354" s="2" t="str">
        <f t="shared" ca="1" si="30"/>
        <v/>
      </c>
      <c r="C354" s="2" t="str">
        <f ca="1">IF(E353="continue",SUM(B$8:B354),"")</f>
        <v/>
      </c>
      <c r="D354" s="1" t="str">
        <f t="shared" ca="1" si="28"/>
        <v/>
      </c>
      <c r="E354" s="13" t="str">
        <f t="shared" ca="1" si="26"/>
        <v>No ruin</v>
      </c>
      <c r="F354">
        <f t="shared" ca="1" si="27"/>
        <v>0</v>
      </c>
    </row>
    <row r="355" spans="1:6">
      <c r="A355" s="3" t="str">
        <f t="shared" ca="1" si="29"/>
        <v/>
      </c>
      <c r="B355" s="2" t="str">
        <f t="shared" ca="1" si="30"/>
        <v/>
      </c>
      <c r="C355" s="2" t="str">
        <f ca="1">IF(E354="continue",SUM(B$8:B355),"")</f>
        <v/>
      </c>
      <c r="D355" s="1" t="str">
        <f t="shared" ca="1" si="28"/>
        <v/>
      </c>
      <c r="E355" s="13" t="str">
        <f t="shared" ca="1" si="26"/>
        <v>No ruin</v>
      </c>
      <c r="F355">
        <f t="shared" ca="1" si="27"/>
        <v>0</v>
      </c>
    </row>
    <row r="356" spans="1:6">
      <c r="A356" s="3" t="str">
        <f t="shared" ca="1" si="29"/>
        <v/>
      </c>
      <c r="B356" s="2" t="str">
        <f t="shared" ca="1" si="30"/>
        <v/>
      </c>
      <c r="C356" s="2" t="str">
        <f ca="1">IF(E355="continue",SUM(B$8:B356),"")</f>
        <v/>
      </c>
      <c r="D356" s="1" t="str">
        <f t="shared" ca="1" si="28"/>
        <v/>
      </c>
      <c r="E356" s="13" t="str">
        <f t="shared" ca="1" si="26"/>
        <v>No ruin</v>
      </c>
      <c r="F356">
        <f t="shared" ca="1" si="27"/>
        <v>0</v>
      </c>
    </row>
    <row r="357" spans="1:6">
      <c r="A357" s="3" t="str">
        <f t="shared" ca="1" si="29"/>
        <v/>
      </c>
      <c r="B357" s="2" t="str">
        <f t="shared" ca="1" si="30"/>
        <v/>
      </c>
      <c r="C357" s="2" t="str">
        <f ca="1">IF(E356="continue",SUM(B$8:B357),"")</f>
        <v/>
      </c>
      <c r="D357" s="1" t="str">
        <f t="shared" ca="1" si="28"/>
        <v/>
      </c>
      <c r="E357" s="13" t="str">
        <f t="shared" ca="1" si="26"/>
        <v>No ruin</v>
      </c>
      <c r="F357">
        <f t="shared" ca="1" si="27"/>
        <v>0</v>
      </c>
    </row>
    <row r="358" spans="1:6">
      <c r="A358" s="3" t="str">
        <f t="shared" ca="1" si="29"/>
        <v/>
      </c>
      <c r="B358" s="2" t="str">
        <f t="shared" ca="1" si="30"/>
        <v/>
      </c>
      <c r="C358" s="2" t="str">
        <f ca="1">IF(E357="continue",SUM(B$8:B358),"")</f>
        <v/>
      </c>
      <c r="D358" s="1" t="str">
        <f t="shared" ca="1" si="28"/>
        <v/>
      </c>
      <c r="E358" s="13" t="str">
        <f t="shared" ca="1" si="26"/>
        <v>No ruin</v>
      </c>
      <c r="F358">
        <f t="shared" ca="1" si="27"/>
        <v>0</v>
      </c>
    </row>
    <row r="359" spans="1:6">
      <c r="A359" s="3" t="str">
        <f t="shared" ca="1" si="29"/>
        <v/>
      </c>
      <c r="B359" s="2" t="str">
        <f t="shared" ca="1" si="30"/>
        <v/>
      </c>
      <c r="C359" s="2" t="str">
        <f ca="1">IF(E358="continue",SUM(B$8:B359),"")</f>
        <v/>
      </c>
      <c r="D359" s="1" t="str">
        <f t="shared" ca="1" si="28"/>
        <v/>
      </c>
      <c r="E359" s="13" t="str">
        <f t="shared" ca="1" si="26"/>
        <v>No ruin</v>
      </c>
      <c r="F359">
        <f t="shared" ca="1" si="27"/>
        <v>0</v>
      </c>
    </row>
    <row r="360" spans="1:6">
      <c r="A360" s="3" t="str">
        <f t="shared" ca="1" si="29"/>
        <v/>
      </c>
      <c r="B360" s="2" t="str">
        <f t="shared" ca="1" si="30"/>
        <v/>
      </c>
      <c r="C360" s="2" t="str">
        <f ca="1">IF(E359="continue",SUM(B$8:B360),"")</f>
        <v/>
      </c>
      <c r="D360" s="1" t="str">
        <f t="shared" ca="1" si="28"/>
        <v/>
      </c>
      <c r="E360" s="13" t="str">
        <f t="shared" ca="1" si="26"/>
        <v>No ruin</v>
      </c>
      <c r="F360">
        <f t="shared" ca="1" si="27"/>
        <v>0</v>
      </c>
    </row>
    <row r="361" spans="1:6">
      <c r="A361" s="3" t="str">
        <f t="shared" ca="1" si="29"/>
        <v/>
      </c>
      <c r="B361" s="2" t="str">
        <f t="shared" ca="1" si="30"/>
        <v/>
      </c>
      <c r="C361" s="2" t="str">
        <f ca="1">IF(E360="continue",SUM(B$8:B361),"")</f>
        <v/>
      </c>
      <c r="D361" s="1" t="str">
        <f t="shared" ca="1" si="28"/>
        <v/>
      </c>
      <c r="E361" s="13" t="str">
        <f t="shared" ca="1" si="26"/>
        <v>No ruin</v>
      </c>
      <c r="F361">
        <f t="shared" ca="1" si="27"/>
        <v>0</v>
      </c>
    </row>
    <row r="362" spans="1:6">
      <c r="A362" s="3" t="str">
        <f t="shared" ca="1" si="29"/>
        <v/>
      </c>
      <c r="B362" s="2" t="str">
        <f t="shared" ca="1" si="30"/>
        <v/>
      </c>
      <c r="C362" s="2" t="str">
        <f ca="1">IF(E361="continue",SUM(B$8:B362),"")</f>
        <v/>
      </c>
      <c r="D362" s="1" t="str">
        <f t="shared" ca="1" si="28"/>
        <v/>
      </c>
      <c r="E362" s="13" t="str">
        <f t="shared" ca="1" si="26"/>
        <v>No ruin</v>
      </c>
      <c r="F362">
        <f t="shared" ca="1" si="27"/>
        <v>0</v>
      </c>
    </row>
    <row r="363" spans="1:6">
      <c r="A363" s="3" t="str">
        <f t="shared" ca="1" si="29"/>
        <v/>
      </c>
      <c r="B363" s="2" t="str">
        <f t="shared" ca="1" si="30"/>
        <v/>
      </c>
      <c r="C363" s="2" t="str">
        <f ca="1">IF(E362="continue",SUM(B$8:B363),"")</f>
        <v/>
      </c>
      <c r="D363" s="1" t="str">
        <f t="shared" ca="1" si="28"/>
        <v/>
      </c>
      <c r="E363" s="13" t="str">
        <f t="shared" ca="1" si="26"/>
        <v>No ruin</v>
      </c>
      <c r="F363">
        <f t="shared" ca="1" si="27"/>
        <v>0</v>
      </c>
    </row>
    <row r="364" spans="1:6">
      <c r="A364" s="3" t="str">
        <f t="shared" ca="1" si="29"/>
        <v/>
      </c>
      <c r="B364" s="2" t="str">
        <f t="shared" ca="1" si="30"/>
        <v/>
      </c>
      <c r="C364" s="2" t="str">
        <f ca="1">IF(E363="continue",SUM(B$8:B364),"")</f>
        <v/>
      </c>
      <c r="D364" s="1" t="str">
        <f t="shared" ca="1" si="28"/>
        <v/>
      </c>
      <c r="E364" s="13" t="str">
        <f t="shared" ca="1" si="26"/>
        <v>No ruin</v>
      </c>
      <c r="F364">
        <f t="shared" ca="1" si="27"/>
        <v>0</v>
      </c>
    </row>
    <row r="365" spans="1:6">
      <c r="A365" s="3" t="str">
        <f t="shared" ca="1" si="29"/>
        <v/>
      </c>
      <c r="B365" s="2" t="str">
        <f t="shared" ca="1" si="30"/>
        <v/>
      </c>
      <c r="C365" s="2" t="str">
        <f ca="1">IF(E364="continue",SUM(B$8:B365),"")</f>
        <v/>
      </c>
      <c r="D365" s="1" t="str">
        <f t="shared" ca="1" si="28"/>
        <v/>
      </c>
      <c r="E365" s="13" t="str">
        <f t="shared" ca="1" si="26"/>
        <v>No ruin</v>
      </c>
      <c r="F365">
        <f t="shared" ca="1" si="27"/>
        <v>0</v>
      </c>
    </row>
    <row r="366" spans="1:6">
      <c r="A366" s="3" t="str">
        <f t="shared" ca="1" si="29"/>
        <v/>
      </c>
      <c r="B366" s="2" t="str">
        <f t="shared" ca="1" si="30"/>
        <v/>
      </c>
      <c r="C366" s="2" t="str">
        <f ca="1">IF(E365="continue",SUM(B$8:B366),"")</f>
        <v/>
      </c>
      <c r="D366" s="1" t="str">
        <f t="shared" ca="1" si="28"/>
        <v/>
      </c>
      <c r="E366" s="13" t="str">
        <f t="shared" ca="1" si="26"/>
        <v>No ruin</v>
      </c>
      <c r="F366">
        <f t="shared" ca="1" si="27"/>
        <v>0</v>
      </c>
    </row>
    <row r="367" spans="1:6">
      <c r="A367" s="3" t="str">
        <f t="shared" ca="1" si="29"/>
        <v/>
      </c>
      <c r="B367" s="2" t="str">
        <f t="shared" ca="1" si="30"/>
        <v/>
      </c>
      <c r="C367" s="2" t="str">
        <f ca="1">IF(E366="continue",SUM(B$8:B367),"")</f>
        <v/>
      </c>
      <c r="D367" s="1" t="str">
        <f t="shared" ca="1" si="28"/>
        <v/>
      </c>
      <c r="E367" s="13" t="str">
        <f t="shared" ca="1" si="26"/>
        <v>No ruin</v>
      </c>
      <c r="F367">
        <f t="shared" ca="1" si="27"/>
        <v>0</v>
      </c>
    </row>
    <row r="368" spans="1:6">
      <c r="A368" s="3" t="str">
        <f t="shared" ca="1" si="29"/>
        <v/>
      </c>
      <c r="B368" s="2" t="str">
        <f t="shared" ca="1" si="30"/>
        <v/>
      </c>
      <c r="C368" s="2" t="str">
        <f ca="1">IF(E367="continue",SUM(B$8:B368),"")</f>
        <v/>
      </c>
      <c r="D368" s="1" t="str">
        <f t="shared" ca="1" si="28"/>
        <v/>
      </c>
      <c r="E368" s="13" t="str">
        <f t="shared" ca="1" si="26"/>
        <v>No ruin</v>
      </c>
      <c r="F368">
        <f t="shared" ca="1" si="27"/>
        <v>0</v>
      </c>
    </row>
    <row r="369" spans="1:6">
      <c r="A369" s="3" t="str">
        <f t="shared" ca="1" si="29"/>
        <v/>
      </c>
      <c r="B369" s="2" t="str">
        <f t="shared" ca="1" si="30"/>
        <v/>
      </c>
      <c r="C369" s="2" t="str">
        <f ca="1">IF(E368="continue",SUM(B$8:B369),"")</f>
        <v/>
      </c>
      <c r="D369" s="1" t="str">
        <f t="shared" ca="1" si="28"/>
        <v/>
      </c>
      <c r="E369" s="13" t="str">
        <f t="shared" ca="1" si="26"/>
        <v>No ruin</v>
      </c>
      <c r="F369">
        <f t="shared" ca="1" si="27"/>
        <v>0</v>
      </c>
    </row>
    <row r="370" spans="1:6">
      <c r="A370" s="3" t="str">
        <f t="shared" ca="1" si="29"/>
        <v/>
      </c>
      <c r="B370" s="2" t="str">
        <f t="shared" ca="1" si="30"/>
        <v/>
      </c>
      <c r="C370" s="2" t="str">
        <f ca="1">IF(E369="continue",SUM(B$8:B370),"")</f>
        <v/>
      </c>
      <c r="D370" s="1" t="str">
        <f t="shared" ca="1" si="28"/>
        <v/>
      </c>
      <c r="E370" s="13" t="str">
        <f t="shared" ca="1" si="26"/>
        <v>No ruin</v>
      </c>
      <c r="F370">
        <f t="shared" ca="1" si="27"/>
        <v>0</v>
      </c>
    </row>
    <row r="371" spans="1:6">
      <c r="A371" s="3" t="str">
        <f t="shared" ca="1" si="29"/>
        <v/>
      </c>
      <c r="B371" s="2" t="str">
        <f t="shared" ca="1" si="30"/>
        <v/>
      </c>
      <c r="C371" s="2" t="str">
        <f ca="1">IF(E370="continue",SUM(B$8:B371),"")</f>
        <v/>
      </c>
      <c r="D371" s="1" t="str">
        <f t="shared" ca="1" si="28"/>
        <v/>
      </c>
      <c r="E371" s="13" t="str">
        <f t="shared" ca="1" si="26"/>
        <v>No ruin</v>
      </c>
      <c r="F371">
        <f t="shared" ca="1" si="27"/>
        <v>0</v>
      </c>
    </row>
    <row r="372" spans="1:6">
      <c r="A372" s="3" t="str">
        <f t="shared" ca="1" si="29"/>
        <v/>
      </c>
      <c r="B372" s="2" t="str">
        <f t="shared" ca="1" si="30"/>
        <v/>
      </c>
      <c r="C372" s="2" t="str">
        <f ca="1">IF(E371="continue",SUM(B$8:B372),"")</f>
        <v/>
      </c>
      <c r="D372" s="1" t="str">
        <f t="shared" ca="1" si="28"/>
        <v/>
      </c>
      <c r="E372" s="13" t="str">
        <f t="shared" ca="1" si="26"/>
        <v>No ruin</v>
      </c>
      <c r="F372">
        <f t="shared" ca="1" si="27"/>
        <v>0</v>
      </c>
    </row>
    <row r="373" spans="1:6">
      <c r="A373" s="3" t="str">
        <f t="shared" ca="1" si="29"/>
        <v/>
      </c>
      <c r="B373" s="2" t="str">
        <f t="shared" ca="1" si="30"/>
        <v/>
      </c>
      <c r="C373" s="2" t="str">
        <f ca="1">IF(E372="continue",SUM(B$8:B373),"")</f>
        <v/>
      </c>
      <c r="D373" s="1" t="str">
        <f t="shared" ca="1" si="28"/>
        <v/>
      </c>
      <c r="E373" s="13" t="str">
        <f t="shared" ca="1" si="26"/>
        <v>No ruin</v>
      </c>
      <c r="F373">
        <f t="shared" ca="1" si="27"/>
        <v>0</v>
      </c>
    </row>
    <row r="374" spans="1:6">
      <c r="A374" s="3" t="str">
        <f t="shared" ca="1" si="29"/>
        <v/>
      </c>
      <c r="B374" s="2" t="str">
        <f t="shared" ca="1" si="30"/>
        <v/>
      </c>
      <c r="C374" s="2" t="str">
        <f ca="1">IF(E373="continue",SUM(B$8:B374),"")</f>
        <v/>
      </c>
      <c r="D374" s="1" t="str">
        <f t="shared" ca="1" si="28"/>
        <v/>
      </c>
      <c r="E374" s="13" t="str">
        <f t="shared" ca="1" si="26"/>
        <v>No ruin</v>
      </c>
      <c r="F374">
        <f t="shared" ca="1" si="27"/>
        <v>0</v>
      </c>
    </row>
    <row r="375" spans="1:6">
      <c r="A375" s="3" t="str">
        <f t="shared" ca="1" si="29"/>
        <v/>
      </c>
      <c r="B375" s="2" t="str">
        <f t="shared" ca="1" si="30"/>
        <v/>
      </c>
      <c r="C375" s="2" t="str">
        <f ca="1">IF(E374="continue",SUM(B$8:B375),"")</f>
        <v/>
      </c>
      <c r="D375" s="1" t="str">
        <f t="shared" ca="1" si="28"/>
        <v/>
      </c>
      <c r="E375" s="13" t="str">
        <f t="shared" ca="1" si="26"/>
        <v>No ruin</v>
      </c>
      <c r="F375">
        <f t="shared" ca="1" si="27"/>
        <v>0</v>
      </c>
    </row>
    <row r="376" spans="1:6">
      <c r="A376" s="3" t="str">
        <f t="shared" ca="1" si="29"/>
        <v/>
      </c>
      <c r="B376" s="2" t="str">
        <f t="shared" ca="1" si="30"/>
        <v/>
      </c>
      <c r="C376" s="2" t="str">
        <f ca="1">IF(E375="continue",SUM(B$8:B376),"")</f>
        <v/>
      </c>
      <c r="D376" s="1" t="str">
        <f t="shared" ca="1" si="28"/>
        <v/>
      </c>
      <c r="E376" s="13" t="str">
        <f t="shared" ca="1" si="26"/>
        <v>No ruin</v>
      </c>
      <c r="F376">
        <f t="shared" ca="1" si="27"/>
        <v>0</v>
      </c>
    </row>
    <row r="377" spans="1:6">
      <c r="A377" s="3" t="str">
        <f t="shared" ca="1" si="29"/>
        <v/>
      </c>
      <c r="B377" s="2" t="str">
        <f t="shared" ca="1" si="30"/>
        <v/>
      </c>
      <c r="C377" s="2" t="str">
        <f ca="1">IF(E376="continue",SUM(B$8:B377),"")</f>
        <v/>
      </c>
      <c r="D377" s="1" t="str">
        <f t="shared" ca="1" si="28"/>
        <v/>
      </c>
      <c r="E377" s="13" t="str">
        <f t="shared" ca="1" si="26"/>
        <v>No ruin</v>
      </c>
      <c r="F377">
        <f t="shared" ca="1" si="27"/>
        <v>0</v>
      </c>
    </row>
    <row r="378" spans="1:6">
      <c r="A378" s="3" t="str">
        <f t="shared" ca="1" si="29"/>
        <v/>
      </c>
      <c r="B378" s="2" t="str">
        <f t="shared" ca="1" si="30"/>
        <v/>
      </c>
      <c r="C378" s="2" t="str">
        <f ca="1">IF(E377="continue",SUM(B$8:B378),"")</f>
        <v/>
      </c>
      <c r="D378" s="1" t="str">
        <f t="shared" ca="1" si="28"/>
        <v/>
      </c>
      <c r="E378" s="13" t="str">
        <f t="shared" ca="1" si="26"/>
        <v>No ruin</v>
      </c>
      <c r="F378">
        <f t="shared" ca="1" si="27"/>
        <v>0</v>
      </c>
    </row>
    <row r="379" spans="1:6">
      <c r="A379" s="3" t="str">
        <f t="shared" ca="1" si="29"/>
        <v/>
      </c>
      <c r="B379" s="2" t="str">
        <f t="shared" ca="1" si="30"/>
        <v/>
      </c>
      <c r="C379" s="2" t="str">
        <f ca="1">IF(E378="continue",SUM(B$8:B379),"")</f>
        <v/>
      </c>
      <c r="D379" s="1" t="str">
        <f t="shared" ca="1" si="28"/>
        <v/>
      </c>
      <c r="E379" s="13" t="str">
        <f t="shared" ca="1" si="26"/>
        <v>No ruin</v>
      </c>
      <c r="F379">
        <f t="shared" ca="1" si="27"/>
        <v>0</v>
      </c>
    </row>
    <row r="380" spans="1:6">
      <c r="A380" s="3" t="str">
        <f t="shared" ca="1" si="29"/>
        <v/>
      </c>
      <c r="B380" s="2" t="str">
        <f t="shared" ca="1" si="30"/>
        <v/>
      </c>
      <c r="C380" s="2" t="str">
        <f ca="1">IF(E379="continue",SUM(B$8:B380),"")</f>
        <v/>
      </c>
      <c r="D380" s="1" t="str">
        <f t="shared" ca="1" si="28"/>
        <v/>
      </c>
      <c r="E380" s="13" t="str">
        <f t="shared" ca="1" si="26"/>
        <v>No ruin</v>
      </c>
      <c r="F380">
        <f t="shared" ca="1" si="27"/>
        <v>0</v>
      </c>
    </row>
    <row r="381" spans="1:6">
      <c r="A381" s="3" t="str">
        <f t="shared" ca="1" si="29"/>
        <v/>
      </c>
      <c r="B381" s="2" t="str">
        <f t="shared" ca="1" si="30"/>
        <v/>
      </c>
      <c r="C381" s="2" t="str">
        <f ca="1">IF(E380="continue",SUM(B$8:B381),"")</f>
        <v/>
      </c>
      <c r="D381" s="1" t="str">
        <f t="shared" ca="1" si="28"/>
        <v/>
      </c>
      <c r="E381" s="13" t="str">
        <f t="shared" ca="1" si="26"/>
        <v>No ruin</v>
      </c>
      <c r="F381">
        <f t="shared" ca="1" si="27"/>
        <v>0</v>
      </c>
    </row>
    <row r="382" spans="1:6">
      <c r="A382" s="3" t="str">
        <f t="shared" ca="1" si="29"/>
        <v/>
      </c>
      <c r="B382" s="2" t="str">
        <f t="shared" ca="1" si="30"/>
        <v/>
      </c>
      <c r="C382" s="2" t="str">
        <f ca="1">IF(E381="continue",SUM(B$8:B382),"")</f>
        <v/>
      </c>
      <c r="D382" s="1" t="str">
        <f t="shared" ca="1" si="28"/>
        <v/>
      </c>
      <c r="E382" s="13" t="str">
        <f t="shared" ca="1" si="26"/>
        <v>No ruin</v>
      </c>
      <c r="F382">
        <f t="shared" ca="1" si="27"/>
        <v>0</v>
      </c>
    </row>
    <row r="383" spans="1:6">
      <c r="A383" s="3" t="str">
        <f t="shared" ca="1" si="29"/>
        <v/>
      </c>
      <c r="B383" s="2" t="str">
        <f t="shared" ca="1" si="30"/>
        <v/>
      </c>
      <c r="C383" s="2" t="str">
        <f ca="1">IF(E382="continue",SUM(B$8:B383),"")</f>
        <v/>
      </c>
      <c r="D383" s="1" t="str">
        <f t="shared" ca="1" si="28"/>
        <v/>
      </c>
      <c r="E383" s="13" t="str">
        <f t="shared" ca="1" si="26"/>
        <v>No ruin</v>
      </c>
      <c r="F383">
        <f t="shared" ca="1" si="27"/>
        <v>0</v>
      </c>
    </row>
    <row r="384" spans="1:6">
      <c r="A384" s="3" t="str">
        <f t="shared" ca="1" si="29"/>
        <v/>
      </c>
      <c r="B384" s="2" t="str">
        <f t="shared" ca="1" si="30"/>
        <v/>
      </c>
      <c r="C384" s="2" t="str">
        <f ca="1">IF(E383="continue",SUM(B$8:B384),"")</f>
        <v/>
      </c>
      <c r="D384" s="1" t="str">
        <f t="shared" ca="1" si="28"/>
        <v/>
      </c>
      <c r="E384" s="13" t="str">
        <f t="shared" ca="1" si="26"/>
        <v>No ruin</v>
      </c>
      <c r="F384">
        <f t="shared" ca="1" si="27"/>
        <v>0</v>
      </c>
    </row>
    <row r="385" spans="1:6">
      <c r="A385" s="3" t="str">
        <f t="shared" ca="1" si="29"/>
        <v/>
      </c>
      <c r="B385" s="2" t="str">
        <f t="shared" ca="1" si="30"/>
        <v/>
      </c>
      <c r="C385" s="2" t="str">
        <f ca="1">IF(E384="continue",SUM(B$8:B385),"")</f>
        <v/>
      </c>
      <c r="D385" s="1" t="str">
        <f t="shared" ca="1" si="28"/>
        <v/>
      </c>
      <c r="E385" s="13" t="str">
        <f t="shared" ca="1" si="26"/>
        <v>No ruin</v>
      </c>
      <c r="F385">
        <f t="shared" ca="1" si="27"/>
        <v>0</v>
      </c>
    </row>
    <row r="386" spans="1:6">
      <c r="A386" s="3" t="str">
        <f t="shared" ca="1" si="29"/>
        <v/>
      </c>
      <c r="B386" s="2" t="str">
        <f t="shared" ca="1" si="30"/>
        <v/>
      </c>
      <c r="C386" s="2" t="str">
        <f ca="1">IF(E385="continue",SUM(B$8:B386),"")</f>
        <v/>
      </c>
      <c r="D386" s="1" t="str">
        <f t="shared" ca="1" si="28"/>
        <v/>
      </c>
      <c r="E386" s="13" t="str">
        <f t="shared" ca="1" si="26"/>
        <v>No ruin</v>
      </c>
      <c r="F386">
        <f t="shared" ca="1" si="27"/>
        <v>0</v>
      </c>
    </row>
    <row r="387" spans="1:6">
      <c r="A387" s="3" t="str">
        <f t="shared" ca="1" si="29"/>
        <v/>
      </c>
      <c r="B387" s="2" t="str">
        <f t="shared" ca="1" si="30"/>
        <v/>
      </c>
      <c r="C387" s="2" t="str">
        <f ca="1">IF(E386="continue",SUM(B$8:B387),"")</f>
        <v/>
      </c>
      <c r="D387" s="1" t="str">
        <f t="shared" ca="1" si="28"/>
        <v/>
      </c>
      <c r="E387" s="13" t="str">
        <f t="shared" ca="1" si="26"/>
        <v>No ruin</v>
      </c>
      <c r="F387">
        <f t="shared" ca="1" si="27"/>
        <v>0</v>
      </c>
    </row>
    <row r="388" spans="1:6">
      <c r="A388" s="3" t="str">
        <f t="shared" ca="1" si="29"/>
        <v/>
      </c>
      <c r="B388" s="2" t="str">
        <f t="shared" ca="1" si="30"/>
        <v/>
      </c>
      <c r="C388" s="2" t="str">
        <f ca="1">IF(E387="continue",SUM(B$8:B388),"")</f>
        <v/>
      </c>
      <c r="D388" s="1" t="str">
        <f t="shared" ca="1" si="28"/>
        <v/>
      </c>
      <c r="E388" s="13" t="str">
        <f t="shared" ca="1" si="26"/>
        <v>No ruin</v>
      </c>
      <c r="F388">
        <f t="shared" ca="1" si="27"/>
        <v>0</v>
      </c>
    </row>
    <row r="389" spans="1:6">
      <c r="A389" s="3" t="str">
        <f t="shared" ca="1" si="29"/>
        <v/>
      </c>
      <c r="B389" s="2" t="str">
        <f t="shared" ca="1" si="30"/>
        <v/>
      </c>
      <c r="C389" s="2" t="str">
        <f ca="1">IF(E388="continue",SUM(B$8:B389),"")</f>
        <v/>
      </c>
      <c r="D389" s="1" t="str">
        <f t="shared" ca="1" si="28"/>
        <v/>
      </c>
      <c r="E389" s="13" t="str">
        <f t="shared" ca="1" si="26"/>
        <v>No ruin</v>
      </c>
      <c r="F389">
        <f t="shared" ca="1" si="27"/>
        <v>0</v>
      </c>
    </row>
    <row r="390" spans="1:6">
      <c r="A390" s="3" t="str">
        <f t="shared" ca="1" si="29"/>
        <v/>
      </c>
      <c r="B390" s="2" t="str">
        <f t="shared" ca="1" si="30"/>
        <v/>
      </c>
      <c r="C390" s="2" t="str">
        <f ca="1">IF(E389="continue",SUM(B$8:B390),"")</f>
        <v/>
      </c>
      <c r="D390" s="1" t="str">
        <f t="shared" ca="1" si="28"/>
        <v/>
      </c>
      <c r="E390" s="13" t="str">
        <f t="shared" ca="1" si="26"/>
        <v>No ruin</v>
      </c>
      <c r="F390">
        <f t="shared" ca="1" si="27"/>
        <v>0</v>
      </c>
    </row>
    <row r="391" spans="1:6">
      <c r="A391" s="3" t="str">
        <f t="shared" ca="1" si="29"/>
        <v/>
      </c>
      <c r="B391" s="2" t="str">
        <f t="shared" ca="1" si="30"/>
        <v/>
      </c>
      <c r="C391" s="2" t="str">
        <f ca="1">IF(E390="continue",SUM(B$8:B391),"")</f>
        <v/>
      </c>
      <c r="D391" s="1" t="str">
        <f t="shared" ca="1" si="28"/>
        <v/>
      </c>
      <c r="E391" s="13" t="str">
        <f t="shared" ca="1" si="26"/>
        <v>No ruin</v>
      </c>
      <c r="F391">
        <f t="shared" ca="1" si="27"/>
        <v>0</v>
      </c>
    </row>
    <row r="392" spans="1:6">
      <c r="A392" s="3" t="str">
        <f t="shared" ca="1" si="29"/>
        <v/>
      </c>
      <c r="B392" s="2" t="str">
        <f t="shared" ca="1" si="30"/>
        <v/>
      </c>
      <c r="C392" s="2" t="str">
        <f ca="1">IF(E391="continue",SUM(B$8:B392),"")</f>
        <v/>
      </c>
      <c r="D392" s="1" t="str">
        <f t="shared" ca="1" si="28"/>
        <v/>
      </c>
      <c r="E392" s="13" t="str">
        <f t="shared" ca="1" si="26"/>
        <v>No ruin</v>
      </c>
      <c r="F392">
        <f t="shared" ca="1" si="27"/>
        <v>0</v>
      </c>
    </row>
    <row r="393" spans="1:6">
      <c r="A393" s="3" t="str">
        <f t="shared" ca="1" si="29"/>
        <v/>
      </c>
      <c r="B393" s="2" t="str">
        <f t="shared" ca="1" si="30"/>
        <v/>
      </c>
      <c r="C393" s="2" t="str">
        <f ca="1">IF(E392="continue",SUM(B$8:B393),"")</f>
        <v/>
      </c>
      <c r="D393" s="1" t="str">
        <f t="shared" ca="1" si="28"/>
        <v/>
      </c>
      <c r="E393" s="13" t="str">
        <f t="shared" ca="1" si="26"/>
        <v>No ruin</v>
      </c>
      <c r="F393">
        <f t="shared" ca="1" si="27"/>
        <v>0</v>
      </c>
    </row>
    <row r="394" spans="1:6">
      <c r="A394" s="3" t="str">
        <f t="shared" ca="1" si="29"/>
        <v/>
      </c>
      <c r="B394" s="2" t="str">
        <f t="shared" ca="1" si="30"/>
        <v/>
      </c>
      <c r="C394" s="2" t="str">
        <f ca="1">IF(E393="continue",SUM(B$8:B394),"")</f>
        <v/>
      </c>
      <c r="D394" s="1" t="str">
        <f t="shared" ca="1" si="28"/>
        <v/>
      </c>
      <c r="E394" s="13" t="str">
        <f t="shared" ref="E394:E457" ca="1" si="31">IF(A394&gt;G$1,"No ruin",IF(AND(A394&lt;=G$1,C394&gt;J$4+D394),"RUIN","continue"))</f>
        <v>No ruin</v>
      </c>
      <c r="F394">
        <f t="shared" ref="F394:F457" ca="1" si="32">IF(E394="RUIN",1,0)</f>
        <v>0</v>
      </c>
    </row>
    <row r="395" spans="1:6">
      <c r="A395" s="3" t="str">
        <f t="shared" ca="1" si="29"/>
        <v/>
      </c>
      <c r="B395" s="2" t="str">
        <f t="shared" ca="1" si="30"/>
        <v/>
      </c>
      <c r="C395" s="2" t="str">
        <f ca="1">IF(E394="continue",SUM(B$8:B395),"")</f>
        <v/>
      </c>
      <c r="D395" s="1" t="str">
        <f t="shared" ref="D395:D458" ca="1" si="33">IF(E394="continue",(1+J$1)*(1/O$3)*M$3*A395,"")</f>
        <v/>
      </c>
      <c r="E395" s="13" t="str">
        <f t="shared" ca="1" si="31"/>
        <v>No ruin</v>
      </c>
      <c r="F395">
        <f t="shared" ca="1" si="32"/>
        <v>0</v>
      </c>
    </row>
    <row r="396" spans="1:6">
      <c r="A396" s="3" t="str">
        <f t="shared" ref="A396:A459" ca="1" si="34">IF(E395="continue",-LN(1-RAND())*O$3+A395,"")</f>
        <v/>
      </c>
      <c r="B396" s="2" t="str">
        <f t="shared" ref="B396:B459" ca="1" si="35">IF(E395="continue",-LN(1-RAND())*M$3,"")</f>
        <v/>
      </c>
      <c r="C396" s="2" t="str">
        <f ca="1">IF(E395="continue",SUM(B$8:B396),"")</f>
        <v/>
      </c>
      <c r="D396" s="1" t="str">
        <f t="shared" ca="1" si="33"/>
        <v/>
      </c>
      <c r="E396" s="13" t="str">
        <f t="shared" ca="1" si="31"/>
        <v>No ruin</v>
      </c>
      <c r="F396">
        <f t="shared" ca="1" si="32"/>
        <v>0</v>
      </c>
    </row>
    <row r="397" spans="1:6">
      <c r="A397" s="3" t="str">
        <f t="shared" ca="1" si="34"/>
        <v/>
      </c>
      <c r="B397" s="2" t="str">
        <f t="shared" ca="1" si="35"/>
        <v/>
      </c>
      <c r="C397" s="2" t="str">
        <f ca="1">IF(E396="continue",SUM(B$8:B397),"")</f>
        <v/>
      </c>
      <c r="D397" s="1" t="str">
        <f t="shared" ca="1" si="33"/>
        <v/>
      </c>
      <c r="E397" s="13" t="str">
        <f t="shared" ca="1" si="31"/>
        <v>No ruin</v>
      </c>
      <c r="F397">
        <f t="shared" ca="1" si="32"/>
        <v>0</v>
      </c>
    </row>
    <row r="398" spans="1:6">
      <c r="A398" s="3" t="str">
        <f t="shared" ca="1" si="34"/>
        <v/>
      </c>
      <c r="B398" s="2" t="str">
        <f t="shared" ca="1" si="35"/>
        <v/>
      </c>
      <c r="C398" s="2" t="str">
        <f ca="1">IF(E397="continue",SUM(B$8:B398),"")</f>
        <v/>
      </c>
      <c r="D398" s="1" t="str">
        <f t="shared" ca="1" si="33"/>
        <v/>
      </c>
      <c r="E398" s="13" t="str">
        <f t="shared" ca="1" si="31"/>
        <v>No ruin</v>
      </c>
      <c r="F398">
        <f t="shared" ca="1" si="32"/>
        <v>0</v>
      </c>
    </row>
    <row r="399" spans="1:6">
      <c r="A399" s="3" t="str">
        <f t="shared" ca="1" si="34"/>
        <v/>
      </c>
      <c r="B399" s="2" t="str">
        <f t="shared" ca="1" si="35"/>
        <v/>
      </c>
      <c r="C399" s="2" t="str">
        <f ca="1">IF(E398="continue",SUM(B$8:B399),"")</f>
        <v/>
      </c>
      <c r="D399" s="1" t="str">
        <f t="shared" ca="1" si="33"/>
        <v/>
      </c>
      <c r="E399" s="13" t="str">
        <f t="shared" ca="1" si="31"/>
        <v>No ruin</v>
      </c>
      <c r="F399">
        <f t="shared" ca="1" si="32"/>
        <v>0</v>
      </c>
    </row>
    <row r="400" spans="1:6">
      <c r="A400" s="3" t="str">
        <f t="shared" ca="1" si="34"/>
        <v/>
      </c>
      <c r="B400" s="2" t="str">
        <f t="shared" ca="1" si="35"/>
        <v/>
      </c>
      <c r="C400" s="2" t="str">
        <f ca="1">IF(E399="continue",SUM(B$8:B400),"")</f>
        <v/>
      </c>
      <c r="D400" s="1" t="str">
        <f t="shared" ca="1" si="33"/>
        <v/>
      </c>
      <c r="E400" s="13" t="str">
        <f t="shared" ca="1" si="31"/>
        <v>No ruin</v>
      </c>
      <c r="F400">
        <f t="shared" ca="1" si="32"/>
        <v>0</v>
      </c>
    </row>
    <row r="401" spans="1:6">
      <c r="A401" s="3" t="str">
        <f t="shared" ca="1" si="34"/>
        <v/>
      </c>
      <c r="B401" s="2" t="str">
        <f t="shared" ca="1" si="35"/>
        <v/>
      </c>
      <c r="C401" s="2" t="str">
        <f ca="1">IF(E400="continue",SUM(B$8:B401),"")</f>
        <v/>
      </c>
      <c r="D401" s="1" t="str">
        <f t="shared" ca="1" si="33"/>
        <v/>
      </c>
      <c r="E401" s="13" t="str">
        <f t="shared" ca="1" si="31"/>
        <v>No ruin</v>
      </c>
      <c r="F401">
        <f t="shared" ca="1" si="32"/>
        <v>0</v>
      </c>
    </row>
    <row r="402" spans="1:6">
      <c r="A402" s="3" t="str">
        <f t="shared" ca="1" si="34"/>
        <v/>
      </c>
      <c r="B402" s="2" t="str">
        <f t="shared" ca="1" si="35"/>
        <v/>
      </c>
      <c r="C402" s="2" t="str">
        <f ca="1">IF(E401="continue",SUM(B$8:B402),"")</f>
        <v/>
      </c>
      <c r="D402" s="1" t="str">
        <f t="shared" ca="1" si="33"/>
        <v/>
      </c>
      <c r="E402" s="13" t="str">
        <f t="shared" ca="1" si="31"/>
        <v>No ruin</v>
      </c>
      <c r="F402">
        <f t="shared" ca="1" si="32"/>
        <v>0</v>
      </c>
    </row>
    <row r="403" spans="1:6">
      <c r="A403" s="3" t="str">
        <f t="shared" ca="1" si="34"/>
        <v/>
      </c>
      <c r="B403" s="2" t="str">
        <f t="shared" ca="1" si="35"/>
        <v/>
      </c>
      <c r="C403" s="2" t="str">
        <f ca="1">IF(E402="continue",SUM(B$8:B403),"")</f>
        <v/>
      </c>
      <c r="D403" s="1" t="str">
        <f t="shared" ca="1" si="33"/>
        <v/>
      </c>
      <c r="E403" s="13" t="str">
        <f t="shared" ca="1" si="31"/>
        <v>No ruin</v>
      </c>
      <c r="F403">
        <f t="shared" ca="1" si="32"/>
        <v>0</v>
      </c>
    </row>
    <row r="404" spans="1:6">
      <c r="A404" s="3" t="str">
        <f t="shared" ca="1" si="34"/>
        <v/>
      </c>
      <c r="B404" s="2" t="str">
        <f t="shared" ca="1" si="35"/>
        <v/>
      </c>
      <c r="C404" s="2" t="str">
        <f ca="1">IF(E403="continue",SUM(B$8:B404),"")</f>
        <v/>
      </c>
      <c r="D404" s="1" t="str">
        <f t="shared" ca="1" si="33"/>
        <v/>
      </c>
      <c r="E404" s="13" t="str">
        <f t="shared" ca="1" si="31"/>
        <v>No ruin</v>
      </c>
      <c r="F404">
        <f t="shared" ca="1" si="32"/>
        <v>0</v>
      </c>
    </row>
    <row r="405" spans="1:6">
      <c r="A405" s="3" t="str">
        <f t="shared" ca="1" si="34"/>
        <v/>
      </c>
      <c r="B405" s="2" t="str">
        <f t="shared" ca="1" si="35"/>
        <v/>
      </c>
      <c r="C405" s="2" t="str">
        <f ca="1">IF(E404="continue",SUM(B$8:B405),"")</f>
        <v/>
      </c>
      <c r="D405" s="1" t="str">
        <f t="shared" ca="1" si="33"/>
        <v/>
      </c>
      <c r="E405" s="13" t="str">
        <f t="shared" ca="1" si="31"/>
        <v>No ruin</v>
      </c>
      <c r="F405">
        <f t="shared" ca="1" si="32"/>
        <v>0</v>
      </c>
    </row>
    <row r="406" spans="1:6">
      <c r="A406" s="3" t="str">
        <f t="shared" ca="1" si="34"/>
        <v/>
      </c>
      <c r="B406" s="2" t="str">
        <f t="shared" ca="1" si="35"/>
        <v/>
      </c>
      <c r="C406" s="2" t="str">
        <f ca="1">IF(E405="continue",SUM(B$8:B406),"")</f>
        <v/>
      </c>
      <c r="D406" s="1" t="str">
        <f t="shared" ca="1" si="33"/>
        <v/>
      </c>
      <c r="E406" s="13" t="str">
        <f t="shared" ca="1" si="31"/>
        <v>No ruin</v>
      </c>
      <c r="F406">
        <f t="shared" ca="1" si="32"/>
        <v>0</v>
      </c>
    </row>
    <row r="407" spans="1:6">
      <c r="A407" s="3" t="str">
        <f t="shared" ca="1" si="34"/>
        <v/>
      </c>
      <c r="B407" s="2" t="str">
        <f t="shared" ca="1" si="35"/>
        <v/>
      </c>
      <c r="C407" s="2" t="str">
        <f ca="1">IF(E406="continue",SUM(B$8:B407),"")</f>
        <v/>
      </c>
      <c r="D407" s="1" t="str">
        <f t="shared" ca="1" si="33"/>
        <v/>
      </c>
      <c r="E407" s="13" t="str">
        <f t="shared" ca="1" si="31"/>
        <v>No ruin</v>
      </c>
      <c r="F407">
        <f t="shared" ca="1" si="32"/>
        <v>0</v>
      </c>
    </row>
    <row r="408" spans="1:6">
      <c r="A408" s="3" t="str">
        <f t="shared" ca="1" si="34"/>
        <v/>
      </c>
      <c r="B408" s="2" t="str">
        <f t="shared" ca="1" si="35"/>
        <v/>
      </c>
      <c r="C408" s="2" t="str">
        <f ca="1">IF(E407="continue",SUM(B$8:B408),"")</f>
        <v/>
      </c>
      <c r="D408" s="1" t="str">
        <f t="shared" ca="1" si="33"/>
        <v/>
      </c>
      <c r="E408" s="13" t="str">
        <f t="shared" ca="1" si="31"/>
        <v>No ruin</v>
      </c>
      <c r="F408">
        <f t="shared" ca="1" si="32"/>
        <v>0</v>
      </c>
    </row>
    <row r="409" spans="1:6">
      <c r="A409" s="3" t="str">
        <f t="shared" ca="1" si="34"/>
        <v/>
      </c>
      <c r="B409" s="2" t="str">
        <f t="shared" ca="1" si="35"/>
        <v/>
      </c>
      <c r="C409" s="2" t="str">
        <f ca="1">IF(E408="continue",SUM(B$8:B409),"")</f>
        <v/>
      </c>
      <c r="D409" s="1" t="str">
        <f t="shared" ca="1" si="33"/>
        <v/>
      </c>
      <c r="E409" s="13" t="str">
        <f t="shared" ca="1" si="31"/>
        <v>No ruin</v>
      </c>
      <c r="F409">
        <f t="shared" ca="1" si="32"/>
        <v>0</v>
      </c>
    </row>
    <row r="410" spans="1:6">
      <c r="A410" s="3" t="str">
        <f t="shared" ca="1" si="34"/>
        <v/>
      </c>
      <c r="B410" s="2" t="str">
        <f t="shared" ca="1" si="35"/>
        <v/>
      </c>
      <c r="C410" s="2" t="str">
        <f ca="1">IF(E409="continue",SUM(B$8:B410),"")</f>
        <v/>
      </c>
      <c r="D410" s="1" t="str">
        <f t="shared" ca="1" si="33"/>
        <v/>
      </c>
      <c r="E410" s="13" t="str">
        <f t="shared" ca="1" si="31"/>
        <v>No ruin</v>
      </c>
      <c r="F410">
        <f t="shared" ca="1" si="32"/>
        <v>0</v>
      </c>
    </row>
    <row r="411" spans="1:6">
      <c r="A411" s="3" t="str">
        <f t="shared" ca="1" si="34"/>
        <v/>
      </c>
      <c r="B411" s="2" t="str">
        <f t="shared" ca="1" si="35"/>
        <v/>
      </c>
      <c r="C411" s="2" t="str">
        <f ca="1">IF(E410="continue",SUM(B$8:B411),"")</f>
        <v/>
      </c>
      <c r="D411" s="1" t="str">
        <f t="shared" ca="1" si="33"/>
        <v/>
      </c>
      <c r="E411" s="13" t="str">
        <f t="shared" ca="1" si="31"/>
        <v>No ruin</v>
      </c>
      <c r="F411">
        <f t="shared" ca="1" si="32"/>
        <v>0</v>
      </c>
    </row>
    <row r="412" spans="1:6">
      <c r="A412" s="3" t="str">
        <f t="shared" ca="1" si="34"/>
        <v/>
      </c>
      <c r="B412" s="2" t="str">
        <f t="shared" ca="1" si="35"/>
        <v/>
      </c>
      <c r="C412" s="2" t="str">
        <f ca="1">IF(E411="continue",SUM(B$8:B412),"")</f>
        <v/>
      </c>
      <c r="D412" s="1" t="str">
        <f t="shared" ca="1" si="33"/>
        <v/>
      </c>
      <c r="E412" s="13" t="str">
        <f t="shared" ca="1" si="31"/>
        <v>No ruin</v>
      </c>
      <c r="F412">
        <f t="shared" ca="1" si="32"/>
        <v>0</v>
      </c>
    </row>
    <row r="413" spans="1:6">
      <c r="A413" s="3" t="str">
        <f t="shared" ca="1" si="34"/>
        <v/>
      </c>
      <c r="B413" s="2" t="str">
        <f t="shared" ca="1" si="35"/>
        <v/>
      </c>
      <c r="C413" s="2" t="str">
        <f ca="1">IF(E412="continue",SUM(B$8:B413),"")</f>
        <v/>
      </c>
      <c r="D413" s="1" t="str">
        <f t="shared" ca="1" si="33"/>
        <v/>
      </c>
      <c r="E413" s="13" t="str">
        <f t="shared" ca="1" si="31"/>
        <v>No ruin</v>
      </c>
      <c r="F413">
        <f t="shared" ca="1" si="32"/>
        <v>0</v>
      </c>
    </row>
    <row r="414" spans="1:6">
      <c r="A414" s="3" t="str">
        <f t="shared" ca="1" si="34"/>
        <v/>
      </c>
      <c r="B414" s="2" t="str">
        <f t="shared" ca="1" si="35"/>
        <v/>
      </c>
      <c r="C414" s="2" t="str">
        <f ca="1">IF(E413="continue",SUM(B$8:B414),"")</f>
        <v/>
      </c>
      <c r="D414" s="1" t="str">
        <f t="shared" ca="1" si="33"/>
        <v/>
      </c>
      <c r="E414" s="13" t="str">
        <f t="shared" ca="1" si="31"/>
        <v>No ruin</v>
      </c>
      <c r="F414">
        <f t="shared" ca="1" si="32"/>
        <v>0</v>
      </c>
    </row>
    <row r="415" spans="1:6">
      <c r="A415" s="3" t="str">
        <f t="shared" ca="1" si="34"/>
        <v/>
      </c>
      <c r="B415" s="2" t="str">
        <f t="shared" ca="1" si="35"/>
        <v/>
      </c>
      <c r="C415" s="2" t="str">
        <f ca="1">IF(E414="continue",SUM(B$8:B415),"")</f>
        <v/>
      </c>
      <c r="D415" s="1" t="str">
        <f t="shared" ca="1" si="33"/>
        <v/>
      </c>
      <c r="E415" s="13" t="str">
        <f t="shared" ca="1" si="31"/>
        <v>No ruin</v>
      </c>
      <c r="F415">
        <f t="shared" ca="1" si="32"/>
        <v>0</v>
      </c>
    </row>
    <row r="416" spans="1:6">
      <c r="A416" s="3" t="str">
        <f t="shared" ca="1" si="34"/>
        <v/>
      </c>
      <c r="B416" s="2" t="str">
        <f t="shared" ca="1" si="35"/>
        <v/>
      </c>
      <c r="C416" s="2" t="str">
        <f ca="1">IF(E415="continue",SUM(B$8:B416),"")</f>
        <v/>
      </c>
      <c r="D416" s="1" t="str">
        <f t="shared" ca="1" si="33"/>
        <v/>
      </c>
      <c r="E416" s="13" t="str">
        <f t="shared" ca="1" si="31"/>
        <v>No ruin</v>
      </c>
      <c r="F416">
        <f t="shared" ca="1" si="32"/>
        <v>0</v>
      </c>
    </row>
    <row r="417" spans="1:6">
      <c r="A417" s="3" t="str">
        <f t="shared" ca="1" si="34"/>
        <v/>
      </c>
      <c r="B417" s="2" t="str">
        <f t="shared" ca="1" si="35"/>
        <v/>
      </c>
      <c r="C417" s="2" t="str">
        <f ca="1">IF(E416="continue",SUM(B$8:B417),"")</f>
        <v/>
      </c>
      <c r="D417" s="1" t="str">
        <f t="shared" ca="1" si="33"/>
        <v/>
      </c>
      <c r="E417" s="13" t="str">
        <f t="shared" ca="1" si="31"/>
        <v>No ruin</v>
      </c>
      <c r="F417">
        <f t="shared" ca="1" si="32"/>
        <v>0</v>
      </c>
    </row>
    <row r="418" spans="1:6">
      <c r="A418" s="3" t="str">
        <f t="shared" ca="1" si="34"/>
        <v/>
      </c>
      <c r="B418" s="2" t="str">
        <f t="shared" ca="1" si="35"/>
        <v/>
      </c>
      <c r="C418" s="2" t="str">
        <f ca="1">IF(E417="continue",SUM(B$8:B418),"")</f>
        <v/>
      </c>
      <c r="D418" s="1" t="str">
        <f t="shared" ca="1" si="33"/>
        <v/>
      </c>
      <c r="E418" s="13" t="str">
        <f t="shared" ca="1" si="31"/>
        <v>No ruin</v>
      </c>
      <c r="F418">
        <f t="shared" ca="1" si="32"/>
        <v>0</v>
      </c>
    </row>
    <row r="419" spans="1:6">
      <c r="A419" s="3" t="str">
        <f t="shared" ca="1" si="34"/>
        <v/>
      </c>
      <c r="B419" s="2" t="str">
        <f t="shared" ca="1" si="35"/>
        <v/>
      </c>
      <c r="C419" s="2" t="str">
        <f ca="1">IF(E418="continue",SUM(B$8:B419),"")</f>
        <v/>
      </c>
      <c r="D419" s="1" t="str">
        <f t="shared" ca="1" si="33"/>
        <v/>
      </c>
      <c r="E419" s="13" t="str">
        <f t="shared" ca="1" si="31"/>
        <v>No ruin</v>
      </c>
      <c r="F419">
        <f t="shared" ca="1" si="32"/>
        <v>0</v>
      </c>
    </row>
    <row r="420" spans="1:6">
      <c r="A420" s="3" t="str">
        <f t="shared" ca="1" si="34"/>
        <v/>
      </c>
      <c r="B420" s="2" t="str">
        <f t="shared" ca="1" si="35"/>
        <v/>
      </c>
      <c r="C420" s="2" t="str">
        <f ca="1">IF(E419="continue",SUM(B$8:B420),"")</f>
        <v/>
      </c>
      <c r="D420" s="1" t="str">
        <f t="shared" ca="1" si="33"/>
        <v/>
      </c>
      <c r="E420" s="13" t="str">
        <f t="shared" ca="1" si="31"/>
        <v>No ruin</v>
      </c>
      <c r="F420">
        <f t="shared" ca="1" si="32"/>
        <v>0</v>
      </c>
    </row>
    <row r="421" spans="1:6">
      <c r="A421" s="3" t="str">
        <f t="shared" ca="1" si="34"/>
        <v/>
      </c>
      <c r="B421" s="2" t="str">
        <f t="shared" ca="1" si="35"/>
        <v/>
      </c>
      <c r="C421" s="2" t="str">
        <f ca="1">IF(E420="continue",SUM(B$8:B421),"")</f>
        <v/>
      </c>
      <c r="D421" s="1" t="str">
        <f t="shared" ca="1" si="33"/>
        <v/>
      </c>
      <c r="E421" s="13" t="str">
        <f t="shared" ca="1" si="31"/>
        <v>No ruin</v>
      </c>
      <c r="F421">
        <f t="shared" ca="1" si="32"/>
        <v>0</v>
      </c>
    </row>
    <row r="422" spans="1:6">
      <c r="A422" s="3" t="str">
        <f t="shared" ca="1" si="34"/>
        <v/>
      </c>
      <c r="B422" s="2" t="str">
        <f t="shared" ca="1" si="35"/>
        <v/>
      </c>
      <c r="C422" s="2" t="str">
        <f ca="1">IF(E421="continue",SUM(B$8:B422),"")</f>
        <v/>
      </c>
      <c r="D422" s="1" t="str">
        <f t="shared" ca="1" si="33"/>
        <v/>
      </c>
      <c r="E422" s="13" t="str">
        <f t="shared" ca="1" si="31"/>
        <v>No ruin</v>
      </c>
      <c r="F422">
        <f t="shared" ca="1" si="32"/>
        <v>0</v>
      </c>
    </row>
    <row r="423" spans="1:6">
      <c r="A423" s="3" t="str">
        <f t="shared" ca="1" si="34"/>
        <v/>
      </c>
      <c r="B423" s="2" t="str">
        <f t="shared" ca="1" si="35"/>
        <v/>
      </c>
      <c r="C423" s="2" t="str">
        <f ca="1">IF(E422="continue",SUM(B$8:B423),"")</f>
        <v/>
      </c>
      <c r="D423" s="1" t="str">
        <f t="shared" ca="1" si="33"/>
        <v/>
      </c>
      <c r="E423" s="13" t="str">
        <f t="shared" ca="1" si="31"/>
        <v>No ruin</v>
      </c>
      <c r="F423">
        <f t="shared" ca="1" si="32"/>
        <v>0</v>
      </c>
    </row>
    <row r="424" spans="1:6">
      <c r="A424" s="3" t="str">
        <f t="shared" ca="1" si="34"/>
        <v/>
      </c>
      <c r="B424" s="2" t="str">
        <f t="shared" ca="1" si="35"/>
        <v/>
      </c>
      <c r="C424" s="2" t="str">
        <f ca="1">IF(E423="continue",SUM(B$8:B424),"")</f>
        <v/>
      </c>
      <c r="D424" s="1" t="str">
        <f t="shared" ca="1" si="33"/>
        <v/>
      </c>
      <c r="E424" s="13" t="str">
        <f t="shared" ca="1" si="31"/>
        <v>No ruin</v>
      </c>
      <c r="F424">
        <f t="shared" ca="1" si="32"/>
        <v>0</v>
      </c>
    </row>
    <row r="425" spans="1:6">
      <c r="A425" s="3" t="str">
        <f t="shared" ca="1" si="34"/>
        <v/>
      </c>
      <c r="B425" s="2" t="str">
        <f t="shared" ca="1" si="35"/>
        <v/>
      </c>
      <c r="C425" s="2" t="str">
        <f ca="1">IF(E424="continue",SUM(B$8:B425),"")</f>
        <v/>
      </c>
      <c r="D425" s="1" t="str">
        <f t="shared" ca="1" si="33"/>
        <v/>
      </c>
      <c r="E425" s="13" t="str">
        <f t="shared" ca="1" si="31"/>
        <v>No ruin</v>
      </c>
      <c r="F425">
        <f t="shared" ca="1" si="32"/>
        <v>0</v>
      </c>
    </row>
    <row r="426" spans="1:6">
      <c r="A426" s="3" t="str">
        <f t="shared" ca="1" si="34"/>
        <v/>
      </c>
      <c r="B426" s="2" t="str">
        <f t="shared" ca="1" si="35"/>
        <v/>
      </c>
      <c r="C426" s="2" t="str">
        <f ca="1">IF(E425="continue",SUM(B$8:B426),"")</f>
        <v/>
      </c>
      <c r="D426" s="1" t="str">
        <f t="shared" ca="1" si="33"/>
        <v/>
      </c>
      <c r="E426" s="13" t="str">
        <f t="shared" ca="1" si="31"/>
        <v>No ruin</v>
      </c>
      <c r="F426">
        <f t="shared" ca="1" si="32"/>
        <v>0</v>
      </c>
    </row>
    <row r="427" spans="1:6">
      <c r="A427" s="3" t="str">
        <f t="shared" ca="1" si="34"/>
        <v/>
      </c>
      <c r="B427" s="2" t="str">
        <f t="shared" ca="1" si="35"/>
        <v/>
      </c>
      <c r="C427" s="2" t="str">
        <f ca="1">IF(E426="continue",SUM(B$8:B427),"")</f>
        <v/>
      </c>
      <c r="D427" s="1" t="str">
        <f t="shared" ca="1" si="33"/>
        <v/>
      </c>
      <c r="E427" s="13" t="str">
        <f t="shared" ca="1" si="31"/>
        <v>No ruin</v>
      </c>
      <c r="F427">
        <f t="shared" ca="1" si="32"/>
        <v>0</v>
      </c>
    </row>
    <row r="428" spans="1:6">
      <c r="A428" s="3" t="str">
        <f t="shared" ca="1" si="34"/>
        <v/>
      </c>
      <c r="B428" s="2" t="str">
        <f t="shared" ca="1" si="35"/>
        <v/>
      </c>
      <c r="C428" s="2" t="str">
        <f ca="1">IF(E427="continue",SUM(B$8:B428),"")</f>
        <v/>
      </c>
      <c r="D428" s="1" t="str">
        <f t="shared" ca="1" si="33"/>
        <v/>
      </c>
      <c r="E428" s="13" t="str">
        <f t="shared" ca="1" si="31"/>
        <v>No ruin</v>
      </c>
      <c r="F428">
        <f t="shared" ca="1" si="32"/>
        <v>0</v>
      </c>
    </row>
    <row r="429" spans="1:6">
      <c r="A429" s="3" t="str">
        <f t="shared" ca="1" si="34"/>
        <v/>
      </c>
      <c r="B429" s="2" t="str">
        <f t="shared" ca="1" si="35"/>
        <v/>
      </c>
      <c r="C429" s="2" t="str">
        <f ca="1">IF(E428="continue",SUM(B$8:B429),"")</f>
        <v/>
      </c>
      <c r="D429" s="1" t="str">
        <f t="shared" ca="1" si="33"/>
        <v/>
      </c>
      <c r="E429" s="13" t="str">
        <f t="shared" ca="1" si="31"/>
        <v>No ruin</v>
      </c>
      <c r="F429">
        <f t="shared" ca="1" si="32"/>
        <v>0</v>
      </c>
    </row>
    <row r="430" spans="1:6">
      <c r="A430" s="3" t="str">
        <f t="shared" ca="1" si="34"/>
        <v/>
      </c>
      <c r="B430" s="2" t="str">
        <f t="shared" ca="1" si="35"/>
        <v/>
      </c>
      <c r="C430" s="2" t="str">
        <f ca="1">IF(E429="continue",SUM(B$8:B430),"")</f>
        <v/>
      </c>
      <c r="D430" s="1" t="str">
        <f t="shared" ca="1" si="33"/>
        <v/>
      </c>
      <c r="E430" s="13" t="str">
        <f t="shared" ca="1" si="31"/>
        <v>No ruin</v>
      </c>
      <c r="F430">
        <f t="shared" ca="1" si="32"/>
        <v>0</v>
      </c>
    </row>
    <row r="431" spans="1:6">
      <c r="A431" s="3" t="str">
        <f t="shared" ca="1" si="34"/>
        <v/>
      </c>
      <c r="B431" s="2" t="str">
        <f t="shared" ca="1" si="35"/>
        <v/>
      </c>
      <c r="C431" s="2" t="str">
        <f ca="1">IF(E430="continue",SUM(B$8:B431),"")</f>
        <v/>
      </c>
      <c r="D431" s="1" t="str">
        <f t="shared" ca="1" si="33"/>
        <v/>
      </c>
      <c r="E431" s="13" t="str">
        <f t="shared" ca="1" si="31"/>
        <v>No ruin</v>
      </c>
      <c r="F431">
        <f t="shared" ca="1" si="32"/>
        <v>0</v>
      </c>
    </row>
    <row r="432" spans="1:6">
      <c r="A432" s="3" t="str">
        <f t="shared" ca="1" si="34"/>
        <v/>
      </c>
      <c r="B432" s="2" t="str">
        <f t="shared" ca="1" si="35"/>
        <v/>
      </c>
      <c r="C432" s="2" t="str">
        <f ca="1">IF(E431="continue",SUM(B$8:B432),"")</f>
        <v/>
      </c>
      <c r="D432" s="1" t="str">
        <f t="shared" ca="1" si="33"/>
        <v/>
      </c>
      <c r="E432" s="13" t="str">
        <f t="shared" ca="1" si="31"/>
        <v>No ruin</v>
      </c>
      <c r="F432">
        <f t="shared" ca="1" si="32"/>
        <v>0</v>
      </c>
    </row>
    <row r="433" spans="1:6">
      <c r="A433" s="3" t="str">
        <f t="shared" ca="1" si="34"/>
        <v/>
      </c>
      <c r="B433" s="2" t="str">
        <f t="shared" ca="1" si="35"/>
        <v/>
      </c>
      <c r="C433" s="2" t="str">
        <f ca="1">IF(E432="continue",SUM(B$8:B433),"")</f>
        <v/>
      </c>
      <c r="D433" s="1" t="str">
        <f t="shared" ca="1" si="33"/>
        <v/>
      </c>
      <c r="E433" s="13" t="str">
        <f t="shared" ca="1" si="31"/>
        <v>No ruin</v>
      </c>
      <c r="F433">
        <f t="shared" ca="1" si="32"/>
        <v>0</v>
      </c>
    </row>
    <row r="434" spans="1:6">
      <c r="A434" s="3" t="str">
        <f t="shared" ca="1" si="34"/>
        <v/>
      </c>
      <c r="B434" s="2" t="str">
        <f t="shared" ca="1" si="35"/>
        <v/>
      </c>
      <c r="C434" s="2" t="str">
        <f ca="1">IF(E433="continue",SUM(B$8:B434),"")</f>
        <v/>
      </c>
      <c r="D434" s="1" t="str">
        <f t="shared" ca="1" si="33"/>
        <v/>
      </c>
      <c r="E434" s="13" t="str">
        <f t="shared" ca="1" si="31"/>
        <v>No ruin</v>
      </c>
      <c r="F434">
        <f t="shared" ca="1" si="32"/>
        <v>0</v>
      </c>
    </row>
    <row r="435" spans="1:6">
      <c r="A435" s="3" t="str">
        <f t="shared" ca="1" si="34"/>
        <v/>
      </c>
      <c r="B435" s="2" t="str">
        <f t="shared" ca="1" si="35"/>
        <v/>
      </c>
      <c r="C435" s="2" t="str">
        <f ca="1">IF(E434="continue",SUM(B$8:B435),"")</f>
        <v/>
      </c>
      <c r="D435" s="1" t="str">
        <f t="shared" ca="1" si="33"/>
        <v/>
      </c>
      <c r="E435" s="13" t="str">
        <f t="shared" ca="1" si="31"/>
        <v>No ruin</v>
      </c>
      <c r="F435">
        <f t="shared" ca="1" si="32"/>
        <v>0</v>
      </c>
    </row>
    <row r="436" spans="1:6">
      <c r="A436" s="3" t="str">
        <f t="shared" ca="1" si="34"/>
        <v/>
      </c>
      <c r="B436" s="2" t="str">
        <f t="shared" ca="1" si="35"/>
        <v/>
      </c>
      <c r="C436" s="2" t="str">
        <f ca="1">IF(E435="continue",SUM(B$8:B436),"")</f>
        <v/>
      </c>
      <c r="D436" s="1" t="str">
        <f t="shared" ca="1" si="33"/>
        <v/>
      </c>
      <c r="E436" s="13" t="str">
        <f t="shared" ca="1" si="31"/>
        <v>No ruin</v>
      </c>
      <c r="F436">
        <f t="shared" ca="1" si="32"/>
        <v>0</v>
      </c>
    </row>
    <row r="437" spans="1:6">
      <c r="A437" s="3" t="str">
        <f t="shared" ca="1" si="34"/>
        <v/>
      </c>
      <c r="B437" s="2" t="str">
        <f t="shared" ca="1" si="35"/>
        <v/>
      </c>
      <c r="C437" s="2" t="str">
        <f ca="1">IF(E436="continue",SUM(B$8:B437),"")</f>
        <v/>
      </c>
      <c r="D437" s="1" t="str">
        <f t="shared" ca="1" si="33"/>
        <v/>
      </c>
      <c r="E437" s="13" t="str">
        <f t="shared" ca="1" si="31"/>
        <v>No ruin</v>
      </c>
      <c r="F437">
        <f t="shared" ca="1" si="32"/>
        <v>0</v>
      </c>
    </row>
    <row r="438" spans="1:6">
      <c r="A438" s="3" t="str">
        <f t="shared" ca="1" si="34"/>
        <v/>
      </c>
      <c r="B438" s="2" t="str">
        <f t="shared" ca="1" si="35"/>
        <v/>
      </c>
      <c r="C438" s="2" t="str">
        <f ca="1">IF(E437="continue",SUM(B$8:B438),"")</f>
        <v/>
      </c>
      <c r="D438" s="1" t="str">
        <f t="shared" ca="1" si="33"/>
        <v/>
      </c>
      <c r="E438" s="13" t="str">
        <f t="shared" ca="1" si="31"/>
        <v>No ruin</v>
      </c>
      <c r="F438">
        <f t="shared" ca="1" si="32"/>
        <v>0</v>
      </c>
    </row>
    <row r="439" spans="1:6">
      <c r="A439" s="3" t="str">
        <f t="shared" ca="1" si="34"/>
        <v/>
      </c>
      <c r="B439" s="2" t="str">
        <f t="shared" ca="1" si="35"/>
        <v/>
      </c>
      <c r="C439" s="2" t="str">
        <f ca="1">IF(E438="continue",SUM(B$8:B439),"")</f>
        <v/>
      </c>
      <c r="D439" s="1" t="str">
        <f t="shared" ca="1" si="33"/>
        <v/>
      </c>
      <c r="E439" s="13" t="str">
        <f t="shared" ca="1" si="31"/>
        <v>No ruin</v>
      </c>
      <c r="F439">
        <f t="shared" ca="1" si="32"/>
        <v>0</v>
      </c>
    </row>
    <row r="440" spans="1:6">
      <c r="A440" s="3" t="str">
        <f t="shared" ca="1" si="34"/>
        <v/>
      </c>
      <c r="B440" s="2" t="str">
        <f t="shared" ca="1" si="35"/>
        <v/>
      </c>
      <c r="C440" s="2" t="str">
        <f ca="1">IF(E439="continue",SUM(B$8:B440),"")</f>
        <v/>
      </c>
      <c r="D440" s="1" t="str">
        <f t="shared" ca="1" si="33"/>
        <v/>
      </c>
      <c r="E440" s="13" t="str">
        <f t="shared" ca="1" si="31"/>
        <v>No ruin</v>
      </c>
      <c r="F440">
        <f t="shared" ca="1" si="32"/>
        <v>0</v>
      </c>
    </row>
    <row r="441" spans="1:6">
      <c r="A441" s="3" t="str">
        <f t="shared" ca="1" si="34"/>
        <v/>
      </c>
      <c r="B441" s="2" t="str">
        <f t="shared" ca="1" si="35"/>
        <v/>
      </c>
      <c r="C441" s="2" t="str">
        <f ca="1">IF(E440="continue",SUM(B$8:B441),"")</f>
        <v/>
      </c>
      <c r="D441" s="1" t="str">
        <f t="shared" ca="1" si="33"/>
        <v/>
      </c>
      <c r="E441" s="13" t="str">
        <f t="shared" ca="1" si="31"/>
        <v>No ruin</v>
      </c>
      <c r="F441">
        <f t="shared" ca="1" si="32"/>
        <v>0</v>
      </c>
    </row>
    <row r="442" spans="1:6">
      <c r="A442" s="3" t="str">
        <f t="shared" ca="1" si="34"/>
        <v/>
      </c>
      <c r="B442" s="2" t="str">
        <f t="shared" ca="1" si="35"/>
        <v/>
      </c>
      <c r="C442" s="2" t="str">
        <f ca="1">IF(E441="continue",SUM(B$8:B442),"")</f>
        <v/>
      </c>
      <c r="D442" s="1" t="str">
        <f t="shared" ca="1" si="33"/>
        <v/>
      </c>
      <c r="E442" s="13" t="str">
        <f t="shared" ca="1" si="31"/>
        <v>No ruin</v>
      </c>
      <c r="F442">
        <f t="shared" ca="1" si="32"/>
        <v>0</v>
      </c>
    </row>
    <row r="443" spans="1:6">
      <c r="A443" s="3" t="str">
        <f t="shared" ca="1" si="34"/>
        <v/>
      </c>
      <c r="B443" s="2" t="str">
        <f t="shared" ca="1" si="35"/>
        <v/>
      </c>
      <c r="C443" s="2" t="str">
        <f ca="1">IF(E442="continue",SUM(B$8:B443),"")</f>
        <v/>
      </c>
      <c r="D443" s="1" t="str">
        <f t="shared" ca="1" si="33"/>
        <v/>
      </c>
      <c r="E443" s="13" t="str">
        <f t="shared" ca="1" si="31"/>
        <v>No ruin</v>
      </c>
      <c r="F443">
        <f t="shared" ca="1" si="32"/>
        <v>0</v>
      </c>
    </row>
    <row r="444" spans="1:6">
      <c r="A444" s="3" t="str">
        <f t="shared" ca="1" si="34"/>
        <v/>
      </c>
      <c r="B444" s="2" t="str">
        <f t="shared" ca="1" si="35"/>
        <v/>
      </c>
      <c r="C444" s="2" t="str">
        <f ca="1">IF(E443="continue",SUM(B$8:B444),"")</f>
        <v/>
      </c>
      <c r="D444" s="1" t="str">
        <f t="shared" ca="1" si="33"/>
        <v/>
      </c>
      <c r="E444" s="13" t="str">
        <f t="shared" ca="1" si="31"/>
        <v>No ruin</v>
      </c>
      <c r="F444">
        <f t="shared" ca="1" si="32"/>
        <v>0</v>
      </c>
    </row>
    <row r="445" spans="1:6">
      <c r="A445" s="3" t="str">
        <f t="shared" ca="1" si="34"/>
        <v/>
      </c>
      <c r="B445" s="2" t="str">
        <f t="shared" ca="1" si="35"/>
        <v/>
      </c>
      <c r="C445" s="2" t="str">
        <f ca="1">IF(E444="continue",SUM(B$8:B445),"")</f>
        <v/>
      </c>
      <c r="D445" s="1" t="str">
        <f t="shared" ca="1" si="33"/>
        <v/>
      </c>
      <c r="E445" s="13" t="str">
        <f t="shared" ca="1" si="31"/>
        <v>No ruin</v>
      </c>
      <c r="F445">
        <f t="shared" ca="1" si="32"/>
        <v>0</v>
      </c>
    </row>
    <row r="446" spans="1:6">
      <c r="A446" s="3" t="str">
        <f t="shared" ca="1" si="34"/>
        <v/>
      </c>
      <c r="B446" s="2" t="str">
        <f t="shared" ca="1" si="35"/>
        <v/>
      </c>
      <c r="C446" s="2" t="str">
        <f ca="1">IF(E445="continue",SUM(B$8:B446),"")</f>
        <v/>
      </c>
      <c r="D446" s="1" t="str">
        <f t="shared" ca="1" si="33"/>
        <v/>
      </c>
      <c r="E446" s="13" t="str">
        <f t="shared" ca="1" si="31"/>
        <v>No ruin</v>
      </c>
      <c r="F446">
        <f t="shared" ca="1" si="32"/>
        <v>0</v>
      </c>
    </row>
    <row r="447" spans="1:6">
      <c r="A447" s="3" t="str">
        <f t="shared" ca="1" si="34"/>
        <v/>
      </c>
      <c r="B447" s="2" t="str">
        <f t="shared" ca="1" si="35"/>
        <v/>
      </c>
      <c r="C447" s="2" t="str">
        <f ca="1">IF(E446="continue",SUM(B$8:B447),"")</f>
        <v/>
      </c>
      <c r="D447" s="1" t="str">
        <f t="shared" ca="1" si="33"/>
        <v/>
      </c>
      <c r="E447" s="13" t="str">
        <f t="shared" ca="1" si="31"/>
        <v>No ruin</v>
      </c>
      <c r="F447">
        <f t="shared" ca="1" si="32"/>
        <v>0</v>
      </c>
    </row>
    <row r="448" spans="1:6">
      <c r="A448" s="3" t="str">
        <f t="shared" ca="1" si="34"/>
        <v/>
      </c>
      <c r="B448" s="2" t="str">
        <f t="shared" ca="1" si="35"/>
        <v/>
      </c>
      <c r="C448" s="2" t="str">
        <f ca="1">IF(E447="continue",SUM(B$8:B448),"")</f>
        <v/>
      </c>
      <c r="D448" s="1" t="str">
        <f t="shared" ca="1" si="33"/>
        <v/>
      </c>
      <c r="E448" s="13" t="str">
        <f t="shared" ca="1" si="31"/>
        <v>No ruin</v>
      </c>
      <c r="F448">
        <f t="shared" ca="1" si="32"/>
        <v>0</v>
      </c>
    </row>
    <row r="449" spans="1:6">
      <c r="A449" s="3" t="str">
        <f t="shared" ca="1" si="34"/>
        <v/>
      </c>
      <c r="B449" s="2" t="str">
        <f t="shared" ca="1" si="35"/>
        <v/>
      </c>
      <c r="C449" s="2" t="str">
        <f ca="1">IF(E448="continue",SUM(B$8:B449),"")</f>
        <v/>
      </c>
      <c r="D449" s="1" t="str">
        <f t="shared" ca="1" si="33"/>
        <v/>
      </c>
      <c r="E449" s="13" t="str">
        <f t="shared" ca="1" si="31"/>
        <v>No ruin</v>
      </c>
      <c r="F449">
        <f t="shared" ca="1" si="32"/>
        <v>0</v>
      </c>
    </row>
    <row r="450" spans="1:6">
      <c r="A450" s="3" t="str">
        <f t="shared" ca="1" si="34"/>
        <v/>
      </c>
      <c r="B450" s="2" t="str">
        <f t="shared" ca="1" si="35"/>
        <v/>
      </c>
      <c r="C450" s="2" t="str">
        <f ca="1">IF(E449="continue",SUM(B$8:B450),"")</f>
        <v/>
      </c>
      <c r="D450" s="1" t="str">
        <f t="shared" ca="1" si="33"/>
        <v/>
      </c>
      <c r="E450" s="13" t="str">
        <f t="shared" ca="1" si="31"/>
        <v>No ruin</v>
      </c>
      <c r="F450">
        <f t="shared" ca="1" si="32"/>
        <v>0</v>
      </c>
    </row>
    <row r="451" spans="1:6">
      <c r="A451" s="3" t="str">
        <f t="shared" ca="1" si="34"/>
        <v/>
      </c>
      <c r="B451" s="2" t="str">
        <f t="shared" ca="1" si="35"/>
        <v/>
      </c>
      <c r="C451" s="2" t="str">
        <f ca="1">IF(E450="continue",SUM(B$8:B451),"")</f>
        <v/>
      </c>
      <c r="D451" s="1" t="str">
        <f t="shared" ca="1" si="33"/>
        <v/>
      </c>
      <c r="E451" s="13" t="str">
        <f t="shared" ca="1" si="31"/>
        <v>No ruin</v>
      </c>
      <c r="F451">
        <f t="shared" ca="1" si="32"/>
        <v>0</v>
      </c>
    </row>
    <row r="452" spans="1:6">
      <c r="A452" s="3" t="str">
        <f t="shared" ca="1" si="34"/>
        <v/>
      </c>
      <c r="B452" s="2" t="str">
        <f t="shared" ca="1" si="35"/>
        <v/>
      </c>
      <c r="C452" s="2" t="str">
        <f ca="1">IF(E451="continue",SUM(B$8:B452),"")</f>
        <v/>
      </c>
      <c r="D452" s="1" t="str">
        <f t="shared" ca="1" si="33"/>
        <v/>
      </c>
      <c r="E452" s="13" t="str">
        <f t="shared" ca="1" si="31"/>
        <v>No ruin</v>
      </c>
      <c r="F452">
        <f t="shared" ca="1" si="32"/>
        <v>0</v>
      </c>
    </row>
    <row r="453" spans="1:6">
      <c r="A453" s="3" t="str">
        <f t="shared" ca="1" si="34"/>
        <v/>
      </c>
      <c r="B453" s="2" t="str">
        <f t="shared" ca="1" si="35"/>
        <v/>
      </c>
      <c r="C453" s="2" t="str">
        <f ca="1">IF(E452="continue",SUM(B$8:B453),"")</f>
        <v/>
      </c>
      <c r="D453" s="1" t="str">
        <f t="shared" ca="1" si="33"/>
        <v/>
      </c>
      <c r="E453" s="13" t="str">
        <f t="shared" ca="1" si="31"/>
        <v>No ruin</v>
      </c>
      <c r="F453">
        <f t="shared" ca="1" si="32"/>
        <v>0</v>
      </c>
    </row>
    <row r="454" spans="1:6">
      <c r="A454" s="3" t="str">
        <f t="shared" ca="1" si="34"/>
        <v/>
      </c>
      <c r="B454" s="2" t="str">
        <f t="shared" ca="1" si="35"/>
        <v/>
      </c>
      <c r="C454" s="2" t="str">
        <f ca="1">IF(E453="continue",SUM(B$8:B454),"")</f>
        <v/>
      </c>
      <c r="D454" s="1" t="str">
        <f t="shared" ca="1" si="33"/>
        <v/>
      </c>
      <c r="E454" s="13" t="str">
        <f t="shared" ca="1" si="31"/>
        <v>No ruin</v>
      </c>
      <c r="F454">
        <f t="shared" ca="1" si="32"/>
        <v>0</v>
      </c>
    </row>
    <row r="455" spans="1:6">
      <c r="A455" s="3" t="str">
        <f t="shared" ca="1" si="34"/>
        <v/>
      </c>
      <c r="B455" s="2" t="str">
        <f t="shared" ca="1" si="35"/>
        <v/>
      </c>
      <c r="C455" s="2" t="str">
        <f ca="1">IF(E454="continue",SUM(B$8:B455),"")</f>
        <v/>
      </c>
      <c r="D455" s="1" t="str">
        <f t="shared" ca="1" si="33"/>
        <v/>
      </c>
      <c r="E455" s="13" t="str">
        <f t="shared" ca="1" si="31"/>
        <v>No ruin</v>
      </c>
      <c r="F455">
        <f t="shared" ca="1" si="32"/>
        <v>0</v>
      </c>
    </row>
    <row r="456" spans="1:6">
      <c r="A456" s="3" t="str">
        <f t="shared" ca="1" si="34"/>
        <v/>
      </c>
      <c r="B456" s="2" t="str">
        <f t="shared" ca="1" si="35"/>
        <v/>
      </c>
      <c r="C456" s="2" t="str">
        <f ca="1">IF(E455="continue",SUM(B$8:B456),"")</f>
        <v/>
      </c>
      <c r="D456" s="1" t="str">
        <f t="shared" ca="1" si="33"/>
        <v/>
      </c>
      <c r="E456" s="13" t="str">
        <f t="shared" ca="1" si="31"/>
        <v>No ruin</v>
      </c>
      <c r="F456">
        <f t="shared" ca="1" si="32"/>
        <v>0</v>
      </c>
    </row>
    <row r="457" spans="1:6">
      <c r="A457" s="3" t="str">
        <f t="shared" ca="1" si="34"/>
        <v/>
      </c>
      <c r="B457" s="2" t="str">
        <f t="shared" ca="1" si="35"/>
        <v/>
      </c>
      <c r="C457" s="2" t="str">
        <f ca="1">IF(E456="continue",SUM(B$8:B457),"")</f>
        <v/>
      </c>
      <c r="D457" s="1" t="str">
        <f t="shared" ca="1" si="33"/>
        <v/>
      </c>
      <c r="E457" s="13" t="str">
        <f t="shared" ca="1" si="31"/>
        <v>No ruin</v>
      </c>
      <c r="F457">
        <f t="shared" ca="1" si="32"/>
        <v>0</v>
      </c>
    </row>
    <row r="458" spans="1:6">
      <c r="A458" s="3" t="str">
        <f t="shared" ca="1" si="34"/>
        <v/>
      </c>
      <c r="B458" s="2" t="str">
        <f t="shared" ca="1" si="35"/>
        <v/>
      </c>
      <c r="C458" s="2" t="str">
        <f ca="1">IF(E457="continue",SUM(B$8:B458),"")</f>
        <v/>
      </c>
      <c r="D458" s="1" t="str">
        <f t="shared" ca="1" si="33"/>
        <v/>
      </c>
      <c r="E458" s="13" t="str">
        <f t="shared" ref="E458:E521" ca="1" si="36">IF(A458&gt;G$1,"No ruin",IF(AND(A458&lt;=G$1,C458&gt;J$4+D458),"RUIN","continue"))</f>
        <v>No ruin</v>
      </c>
      <c r="F458">
        <f t="shared" ref="F458:F521" ca="1" si="37">IF(E458="RUIN",1,0)</f>
        <v>0</v>
      </c>
    </row>
    <row r="459" spans="1:6">
      <c r="A459" s="3" t="str">
        <f t="shared" ca="1" si="34"/>
        <v/>
      </c>
      <c r="B459" s="2" t="str">
        <f t="shared" ca="1" si="35"/>
        <v/>
      </c>
      <c r="C459" s="2" t="str">
        <f ca="1">IF(E458="continue",SUM(B$8:B459),"")</f>
        <v/>
      </c>
      <c r="D459" s="1" t="str">
        <f t="shared" ref="D459:D522" ca="1" si="38">IF(E458="continue",(1+J$1)*(1/O$3)*M$3*A459,"")</f>
        <v/>
      </c>
      <c r="E459" s="13" t="str">
        <f t="shared" ca="1" si="36"/>
        <v>No ruin</v>
      </c>
      <c r="F459">
        <f t="shared" ca="1" si="37"/>
        <v>0</v>
      </c>
    </row>
    <row r="460" spans="1:6">
      <c r="A460" s="3" t="str">
        <f t="shared" ref="A460:A523" ca="1" si="39">IF(E459="continue",-LN(1-RAND())*O$3+A459,"")</f>
        <v/>
      </c>
      <c r="B460" s="2" t="str">
        <f t="shared" ref="B460:B523" ca="1" si="40">IF(E459="continue",-LN(1-RAND())*M$3,"")</f>
        <v/>
      </c>
      <c r="C460" s="2" t="str">
        <f ca="1">IF(E459="continue",SUM(B$8:B460),"")</f>
        <v/>
      </c>
      <c r="D460" s="1" t="str">
        <f t="shared" ca="1" si="38"/>
        <v/>
      </c>
      <c r="E460" s="13" t="str">
        <f t="shared" ca="1" si="36"/>
        <v>No ruin</v>
      </c>
      <c r="F460">
        <f t="shared" ca="1" si="37"/>
        <v>0</v>
      </c>
    </row>
    <row r="461" spans="1:6">
      <c r="A461" s="3" t="str">
        <f t="shared" ca="1" si="39"/>
        <v/>
      </c>
      <c r="B461" s="2" t="str">
        <f t="shared" ca="1" si="40"/>
        <v/>
      </c>
      <c r="C461" s="2" t="str">
        <f ca="1">IF(E460="continue",SUM(B$8:B461),"")</f>
        <v/>
      </c>
      <c r="D461" s="1" t="str">
        <f t="shared" ca="1" si="38"/>
        <v/>
      </c>
      <c r="E461" s="13" t="str">
        <f t="shared" ca="1" si="36"/>
        <v>No ruin</v>
      </c>
      <c r="F461">
        <f t="shared" ca="1" si="37"/>
        <v>0</v>
      </c>
    </row>
    <row r="462" spans="1:6">
      <c r="A462" s="3" t="str">
        <f t="shared" ca="1" si="39"/>
        <v/>
      </c>
      <c r="B462" s="2" t="str">
        <f t="shared" ca="1" si="40"/>
        <v/>
      </c>
      <c r="C462" s="2" t="str">
        <f ca="1">IF(E461="continue",SUM(B$8:B462),"")</f>
        <v/>
      </c>
      <c r="D462" s="1" t="str">
        <f t="shared" ca="1" si="38"/>
        <v/>
      </c>
      <c r="E462" s="13" t="str">
        <f t="shared" ca="1" si="36"/>
        <v>No ruin</v>
      </c>
      <c r="F462">
        <f t="shared" ca="1" si="37"/>
        <v>0</v>
      </c>
    </row>
    <row r="463" spans="1:6">
      <c r="A463" s="3" t="str">
        <f t="shared" ca="1" si="39"/>
        <v/>
      </c>
      <c r="B463" s="2" t="str">
        <f t="shared" ca="1" si="40"/>
        <v/>
      </c>
      <c r="C463" s="2" t="str">
        <f ca="1">IF(E462="continue",SUM(B$8:B463),"")</f>
        <v/>
      </c>
      <c r="D463" s="1" t="str">
        <f t="shared" ca="1" si="38"/>
        <v/>
      </c>
      <c r="E463" s="13" t="str">
        <f t="shared" ca="1" si="36"/>
        <v>No ruin</v>
      </c>
      <c r="F463">
        <f t="shared" ca="1" si="37"/>
        <v>0</v>
      </c>
    </row>
    <row r="464" spans="1:6">
      <c r="A464" s="3" t="str">
        <f t="shared" ca="1" si="39"/>
        <v/>
      </c>
      <c r="B464" s="2" t="str">
        <f t="shared" ca="1" si="40"/>
        <v/>
      </c>
      <c r="C464" s="2" t="str">
        <f ca="1">IF(E463="continue",SUM(B$8:B464),"")</f>
        <v/>
      </c>
      <c r="D464" s="1" t="str">
        <f t="shared" ca="1" si="38"/>
        <v/>
      </c>
      <c r="E464" s="13" t="str">
        <f t="shared" ca="1" si="36"/>
        <v>No ruin</v>
      </c>
      <c r="F464">
        <f t="shared" ca="1" si="37"/>
        <v>0</v>
      </c>
    </row>
    <row r="465" spans="1:6">
      <c r="A465" s="3" t="str">
        <f t="shared" ca="1" si="39"/>
        <v/>
      </c>
      <c r="B465" s="2" t="str">
        <f t="shared" ca="1" si="40"/>
        <v/>
      </c>
      <c r="C465" s="2" t="str">
        <f ca="1">IF(E464="continue",SUM(B$8:B465),"")</f>
        <v/>
      </c>
      <c r="D465" s="1" t="str">
        <f t="shared" ca="1" si="38"/>
        <v/>
      </c>
      <c r="E465" s="13" t="str">
        <f t="shared" ca="1" si="36"/>
        <v>No ruin</v>
      </c>
      <c r="F465">
        <f t="shared" ca="1" si="37"/>
        <v>0</v>
      </c>
    </row>
    <row r="466" spans="1:6">
      <c r="A466" s="3" t="str">
        <f t="shared" ca="1" si="39"/>
        <v/>
      </c>
      <c r="B466" s="2" t="str">
        <f t="shared" ca="1" si="40"/>
        <v/>
      </c>
      <c r="C466" s="2" t="str">
        <f ca="1">IF(E465="continue",SUM(B$8:B466),"")</f>
        <v/>
      </c>
      <c r="D466" s="1" t="str">
        <f t="shared" ca="1" si="38"/>
        <v/>
      </c>
      <c r="E466" s="13" t="str">
        <f t="shared" ca="1" si="36"/>
        <v>No ruin</v>
      </c>
      <c r="F466">
        <f t="shared" ca="1" si="37"/>
        <v>0</v>
      </c>
    </row>
    <row r="467" spans="1:6">
      <c r="A467" s="3" t="str">
        <f t="shared" ca="1" si="39"/>
        <v/>
      </c>
      <c r="B467" s="2" t="str">
        <f t="shared" ca="1" si="40"/>
        <v/>
      </c>
      <c r="C467" s="2" t="str">
        <f ca="1">IF(E466="continue",SUM(B$8:B467),"")</f>
        <v/>
      </c>
      <c r="D467" s="1" t="str">
        <f t="shared" ca="1" si="38"/>
        <v/>
      </c>
      <c r="E467" s="13" t="str">
        <f t="shared" ca="1" si="36"/>
        <v>No ruin</v>
      </c>
      <c r="F467">
        <f t="shared" ca="1" si="37"/>
        <v>0</v>
      </c>
    </row>
    <row r="468" spans="1:6">
      <c r="A468" s="3" t="str">
        <f t="shared" ca="1" si="39"/>
        <v/>
      </c>
      <c r="B468" s="2" t="str">
        <f t="shared" ca="1" si="40"/>
        <v/>
      </c>
      <c r="C468" s="2" t="str">
        <f ca="1">IF(E467="continue",SUM(B$8:B468),"")</f>
        <v/>
      </c>
      <c r="D468" s="1" t="str">
        <f t="shared" ca="1" si="38"/>
        <v/>
      </c>
      <c r="E468" s="13" t="str">
        <f t="shared" ca="1" si="36"/>
        <v>No ruin</v>
      </c>
      <c r="F468">
        <f t="shared" ca="1" si="37"/>
        <v>0</v>
      </c>
    </row>
    <row r="469" spans="1:6">
      <c r="A469" s="3" t="str">
        <f t="shared" ca="1" si="39"/>
        <v/>
      </c>
      <c r="B469" s="2" t="str">
        <f t="shared" ca="1" si="40"/>
        <v/>
      </c>
      <c r="C469" s="2" t="str">
        <f ca="1">IF(E468="continue",SUM(B$8:B469),"")</f>
        <v/>
      </c>
      <c r="D469" s="1" t="str">
        <f t="shared" ca="1" si="38"/>
        <v/>
      </c>
      <c r="E469" s="13" t="str">
        <f t="shared" ca="1" si="36"/>
        <v>No ruin</v>
      </c>
      <c r="F469">
        <f t="shared" ca="1" si="37"/>
        <v>0</v>
      </c>
    </row>
    <row r="470" spans="1:6">
      <c r="A470" s="3" t="str">
        <f t="shared" ca="1" si="39"/>
        <v/>
      </c>
      <c r="B470" s="2" t="str">
        <f t="shared" ca="1" si="40"/>
        <v/>
      </c>
      <c r="C470" s="2" t="str">
        <f ca="1">IF(E469="continue",SUM(B$8:B470),"")</f>
        <v/>
      </c>
      <c r="D470" s="1" t="str">
        <f t="shared" ca="1" si="38"/>
        <v/>
      </c>
      <c r="E470" s="13" t="str">
        <f t="shared" ca="1" si="36"/>
        <v>No ruin</v>
      </c>
      <c r="F470">
        <f t="shared" ca="1" si="37"/>
        <v>0</v>
      </c>
    </row>
    <row r="471" spans="1:6">
      <c r="A471" s="3" t="str">
        <f t="shared" ca="1" si="39"/>
        <v/>
      </c>
      <c r="B471" s="2" t="str">
        <f t="shared" ca="1" si="40"/>
        <v/>
      </c>
      <c r="C471" s="2" t="str">
        <f ca="1">IF(E470="continue",SUM(B$8:B471),"")</f>
        <v/>
      </c>
      <c r="D471" s="1" t="str">
        <f t="shared" ca="1" si="38"/>
        <v/>
      </c>
      <c r="E471" s="13" t="str">
        <f t="shared" ca="1" si="36"/>
        <v>No ruin</v>
      </c>
      <c r="F471">
        <f t="shared" ca="1" si="37"/>
        <v>0</v>
      </c>
    </row>
    <row r="472" spans="1:6">
      <c r="A472" s="3" t="str">
        <f t="shared" ca="1" si="39"/>
        <v/>
      </c>
      <c r="B472" s="2" t="str">
        <f t="shared" ca="1" si="40"/>
        <v/>
      </c>
      <c r="C472" s="2" t="str">
        <f ca="1">IF(E471="continue",SUM(B$8:B472),"")</f>
        <v/>
      </c>
      <c r="D472" s="1" t="str">
        <f t="shared" ca="1" si="38"/>
        <v/>
      </c>
      <c r="E472" s="13" t="str">
        <f t="shared" ca="1" si="36"/>
        <v>No ruin</v>
      </c>
      <c r="F472">
        <f t="shared" ca="1" si="37"/>
        <v>0</v>
      </c>
    </row>
    <row r="473" spans="1:6">
      <c r="A473" s="3" t="str">
        <f t="shared" ca="1" si="39"/>
        <v/>
      </c>
      <c r="B473" s="2" t="str">
        <f t="shared" ca="1" si="40"/>
        <v/>
      </c>
      <c r="C473" s="2" t="str">
        <f ca="1">IF(E472="continue",SUM(B$8:B473),"")</f>
        <v/>
      </c>
      <c r="D473" s="1" t="str">
        <f t="shared" ca="1" si="38"/>
        <v/>
      </c>
      <c r="E473" s="13" t="str">
        <f t="shared" ca="1" si="36"/>
        <v>No ruin</v>
      </c>
      <c r="F473">
        <f t="shared" ca="1" si="37"/>
        <v>0</v>
      </c>
    </row>
    <row r="474" spans="1:6">
      <c r="A474" s="3" t="str">
        <f t="shared" ca="1" si="39"/>
        <v/>
      </c>
      <c r="B474" s="2" t="str">
        <f t="shared" ca="1" si="40"/>
        <v/>
      </c>
      <c r="C474" s="2" t="str">
        <f ca="1">IF(E473="continue",SUM(B$8:B474),"")</f>
        <v/>
      </c>
      <c r="D474" s="1" t="str">
        <f t="shared" ca="1" si="38"/>
        <v/>
      </c>
      <c r="E474" s="13" t="str">
        <f t="shared" ca="1" si="36"/>
        <v>No ruin</v>
      </c>
      <c r="F474">
        <f t="shared" ca="1" si="37"/>
        <v>0</v>
      </c>
    </row>
    <row r="475" spans="1:6">
      <c r="A475" s="3" t="str">
        <f t="shared" ca="1" si="39"/>
        <v/>
      </c>
      <c r="B475" s="2" t="str">
        <f t="shared" ca="1" si="40"/>
        <v/>
      </c>
      <c r="C475" s="2" t="str">
        <f ca="1">IF(E474="continue",SUM(B$8:B475),"")</f>
        <v/>
      </c>
      <c r="D475" s="1" t="str">
        <f t="shared" ca="1" si="38"/>
        <v/>
      </c>
      <c r="E475" s="13" t="str">
        <f t="shared" ca="1" si="36"/>
        <v>No ruin</v>
      </c>
      <c r="F475">
        <f t="shared" ca="1" si="37"/>
        <v>0</v>
      </c>
    </row>
    <row r="476" spans="1:6">
      <c r="A476" s="3" t="str">
        <f t="shared" ca="1" si="39"/>
        <v/>
      </c>
      <c r="B476" s="2" t="str">
        <f t="shared" ca="1" si="40"/>
        <v/>
      </c>
      <c r="C476" s="2" t="str">
        <f ca="1">IF(E475="continue",SUM(B$8:B476),"")</f>
        <v/>
      </c>
      <c r="D476" s="1" t="str">
        <f t="shared" ca="1" si="38"/>
        <v/>
      </c>
      <c r="E476" s="13" t="str">
        <f t="shared" ca="1" si="36"/>
        <v>No ruin</v>
      </c>
      <c r="F476">
        <f t="shared" ca="1" si="37"/>
        <v>0</v>
      </c>
    </row>
    <row r="477" spans="1:6">
      <c r="A477" s="3" t="str">
        <f t="shared" ca="1" si="39"/>
        <v/>
      </c>
      <c r="B477" s="2" t="str">
        <f t="shared" ca="1" si="40"/>
        <v/>
      </c>
      <c r="C477" s="2" t="str">
        <f ca="1">IF(E476="continue",SUM(B$8:B477),"")</f>
        <v/>
      </c>
      <c r="D477" s="1" t="str">
        <f t="shared" ca="1" si="38"/>
        <v/>
      </c>
      <c r="E477" s="13" t="str">
        <f t="shared" ca="1" si="36"/>
        <v>No ruin</v>
      </c>
      <c r="F477">
        <f t="shared" ca="1" si="37"/>
        <v>0</v>
      </c>
    </row>
    <row r="478" spans="1:6">
      <c r="A478" s="3" t="str">
        <f t="shared" ca="1" si="39"/>
        <v/>
      </c>
      <c r="B478" s="2" t="str">
        <f t="shared" ca="1" si="40"/>
        <v/>
      </c>
      <c r="C478" s="2" t="str">
        <f ca="1">IF(E477="continue",SUM(B$8:B478),"")</f>
        <v/>
      </c>
      <c r="D478" s="1" t="str">
        <f t="shared" ca="1" si="38"/>
        <v/>
      </c>
      <c r="E478" s="13" t="str">
        <f t="shared" ca="1" si="36"/>
        <v>No ruin</v>
      </c>
      <c r="F478">
        <f t="shared" ca="1" si="37"/>
        <v>0</v>
      </c>
    </row>
    <row r="479" spans="1:6">
      <c r="A479" s="3" t="str">
        <f t="shared" ca="1" si="39"/>
        <v/>
      </c>
      <c r="B479" s="2" t="str">
        <f t="shared" ca="1" si="40"/>
        <v/>
      </c>
      <c r="C479" s="2" t="str">
        <f ca="1">IF(E478="continue",SUM(B$8:B479),"")</f>
        <v/>
      </c>
      <c r="D479" s="1" t="str">
        <f t="shared" ca="1" si="38"/>
        <v/>
      </c>
      <c r="E479" s="13" t="str">
        <f t="shared" ca="1" si="36"/>
        <v>No ruin</v>
      </c>
      <c r="F479">
        <f t="shared" ca="1" si="37"/>
        <v>0</v>
      </c>
    </row>
    <row r="480" spans="1:6">
      <c r="A480" s="3" t="str">
        <f t="shared" ca="1" si="39"/>
        <v/>
      </c>
      <c r="B480" s="2" t="str">
        <f t="shared" ca="1" si="40"/>
        <v/>
      </c>
      <c r="C480" s="2" t="str">
        <f ca="1">IF(E479="continue",SUM(B$8:B480),"")</f>
        <v/>
      </c>
      <c r="D480" s="1" t="str">
        <f t="shared" ca="1" si="38"/>
        <v/>
      </c>
      <c r="E480" s="13" t="str">
        <f t="shared" ca="1" si="36"/>
        <v>No ruin</v>
      </c>
      <c r="F480">
        <f t="shared" ca="1" si="37"/>
        <v>0</v>
      </c>
    </row>
    <row r="481" spans="1:6">
      <c r="A481" s="3" t="str">
        <f t="shared" ca="1" si="39"/>
        <v/>
      </c>
      <c r="B481" s="2" t="str">
        <f t="shared" ca="1" si="40"/>
        <v/>
      </c>
      <c r="C481" s="2" t="str">
        <f ca="1">IF(E480="continue",SUM(B$8:B481),"")</f>
        <v/>
      </c>
      <c r="D481" s="1" t="str">
        <f t="shared" ca="1" si="38"/>
        <v/>
      </c>
      <c r="E481" s="13" t="str">
        <f t="shared" ca="1" si="36"/>
        <v>No ruin</v>
      </c>
      <c r="F481">
        <f t="shared" ca="1" si="37"/>
        <v>0</v>
      </c>
    </row>
    <row r="482" spans="1:6">
      <c r="A482" s="3" t="str">
        <f t="shared" ca="1" si="39"/>
        <v/>
      </c>
      <c r="B482" s="2" t="str">
        <f t="shared" ca="1" si="40"/>
        <v/>
      </c>
      <c r="C482" s="2" t="str">
        <f ca="1">IF(E481="continue",SUM(B$8:B482),"")</f>
        <v/>
      </c>
      <c r="D482" s="1" t="str">
        <f t="shared" ca="1" si="38"/>
        <v/>
      </c>
      <c r="E482" s="13" t="str">
        <f t="shared" ca="1" si="36"/>
        <v>No ruin</v>
      </c>
      <c r="F482">
        <f t="shared" ca="1" si="37"/>
        <v>0</v>
      </c>
    </row>
    <row r="483" spans="1:6">
      <c r="A483" s="3" t="str">
        <f t="shared" ca="1" si="39"/>
        <v/>
      </c>
      <c r="B483" s="2" t="str">
        <f t="shared" ca="1" si="40"/>
        <v/>
      </c>
      <c r="C483" s="2" t="str">
        <f ca="1">IF(E482="continue",SUM(B$8:B483),"")</f>
        <v/>
      </c>
      <c r="D483" s="1" t="str">
        <f t="shared" ca="1" si="38"/>
        <v/>
      </c>
      <c r="E483" s="13" t="str">
        <f t="shared" ca="1" si="36"/>
        <v>No ruin</v>
      </c>
      <c r="F483">
        <f t="shared" ca="1" si="37"/>
        <v>0</v>
      </c>
    </row>
    <row r="484" spans="1:6">
      <c r="A484" s="3" t="str">
        <f t="shared" ca="1" si="39"/>
        <v/>
      </c>
      <c r="B484" s="2" t="str">
        <f t="shared" ca="1" si="40"/>
        <v/>
      </c>
      <c r="C484" s="2" t="str">
        <f ca="1">IF(E483="continue",SUM(B$8:B484),"")</f>
        <v/>
      </c>
      <c r="D484" s="1" t="str">
        <f t="shared" ca="1" si="38"/>
        <v/>
      </c>
      <c r="E484" s="13" t="str">
        <f t="shared" ca="1" si="36"/>
        <v>No ruin</v>
      </c>
      <c r="F484">
        <f t="shared" ca="1" si="37"/>
        <v>0</v>
      </c>
    </row>
    <row r="485" spans="1:6">
      <c r="A485" s="3" t="str">
        <f t="shared" ca="1" si="39"/>
        <v/>
      </c>
      <c r="B485" s="2" t="str">
        <f t="shared" ca="1" si="40"/>
        <v/>
      </c>
      <c r="C485" s="2" t="str">
        <f ca="1">IF(E484="continue",SUM(B$8:B485),"")</f>
        <v/>
      </c>
      <c r="D485" s="1" t="str">
        <f t="shared" ca="1" si="38"/>
        <v/>
      </c>
      <c r="E485" s="13" t="str">
        <f t="shared" ca="1" si="36"/>
        <v>No ruin</v>
      </c>
      <c r="F485">
        <f t="shared" ca="1" si="37"/>
        <v>0</v>
      </c>
    </row>
    <row r="486" spans="1:6">
      <c r="A486" s="3" t="str">
        <f t="shared" ca="1" si="39"/>
        <v/>
      </c>
      <c r="B486" s="2" t="str">
        <f t="shared" ca="1" si="40"/>
        <v/>
      </c>
      <c r="C486" s="2" t="str">
        <f ca="1">IF(E485="continue",SUM(B$8:B486),"")</f>
        <v/>
      </c>
      <c r="D486" s="1" t="str">
        <f t="shared" ca="1" si="38"/>
        <v/>
      </c>
      <c r="E486" s="13" t="str">
        <f t="shared" ca="1" si="36"/>
        <v>No ruin</v>
      </c>
      <c r="F486">
        <f t="shared" ca="1" si="37"/>
        <v>0</v>
      </c>
    </row>
    <row r="487" spans="1:6">
      <c r="A487" s="3" t="str">
        <f t="shared" ca="1" si="39"/>
        <v/>
      </c>
      <c r="B487" s="2" t="str">
        <f t="shared" ca="1" si="40"/>
        <v/>
      </c>
      <c r="C487" s="2" t="str">
        <f ca="1">IF(E486="continue",SUM(B$8:B487),"")</f>
        <v/>
      </c>
      <c r="D487" s="1" t="str">
        <f t="shared" ca="1" si="38"/>
        <v/>
      </c>
      <c r="E487" s="13" t="str">
        <f t="shared" ca="1" si="36"/>
        <v>No ruin</v>
      </c>
      <c r="F487">
        <f t="shared" ca="1" si="37"/>
        <v>0</v>
      </c>
    </row>
    <row r="488" spans="1:6">
      <c r="A488" s="3" t="str">
        <f t="shared" ca="1" si="39"/>
        <v/>
      </c>
      <c r="B488" s="2" t="str">
        <f t="shared" ca="1" si="40"/>
        <v/>
      </c>
      <c r="C488" s="2" t="str">
        <f ca="1">IF(E487="continue",SUM(B$8:B488),"")</f>
        <v/>
      </c>
      <c r="D488" s="1" t="str">
        <f t="shared" ca="1" si="38"/>
        <v/>
      </c>
      <c r="E488" s="13" t="str">
        <f t="shared" ca="1" si="36"/>
        <v>No ruin</v>
      </c>
      <c r="F488">
        <f t="shared" ca="1" si="37"/>
        <v>0</v>
      </c>
    </row>
    <row r="489" spans="1:6">
      <c r="A489" s="3" t="str">
        <f t="shared" ca="1" si="39"/>
        <v/>
      </c>
      <c r="B489" s="2" t="str">
        <f t="shared" ca="1" si="40"/>
        <v/>
      </c>
      <c r="C489" s="2" t="str">
        <f ca="1">IF(E488="continue",SUM(B$8:B489),"")</f>
        <v/>
      </c>
      <c r="D489" s="1" t="str">
        <f t="shared" ca="1" si="38"/>
        <v/>
      </c>
      <c r="E489" s="13" t="str">
        <f t="shared" ca="1" si="36"/>
        <v>No ruin</v>
      </c>
      <c r="F489">
        <f t="shared" ca="1" si="37"/>
        <v>0</v>
      </c>
    </row>
    <row r="490" spans="1:6">
      <c r="A490" s="3" t="str">
        <f t="shared" ca="1" si="39"/>
        <v/>
      </c>
      <c r="B490" s="2" t="str">
        <f t="shared" ca="1" si="40"/>
        <v/>
      </c>
      <c r="C490" s="2" t="str">
        <f ca="1">IF(E489="continue",SUM(B$8:B490),"")</f>
        <v/>
      </c>
      <c r="D490" s="1" t="str">
        <f t="shared" ca="1" si="38"/>
        <v/>
      </c>
      <c r="E490" s="13" t="str">
        <f t="shared" ca="1" si="36"/>
        <v>No ruin</v>
      </c>
      <c r="F490">
        <f t="shared" ca="1" si="37"/>
        <v>0</v>
      </c>
    </row>
    <row r="491" spans="1:6">
      <c r="A491" s="3" t="str">
        <f t="shared" ca="1" si="39"/>
        <v/>
      </c>
      <c r="B491" s="2" t="str">
        <f t="shared" ca="1" si="40"/>
        <v/>
      </c>
      <c r="C491" s="2" t="str">
        <f ca="1">IF(E490="continue",SUM(B$8:B491),"")</f>
        <v/>
      </c>
      <c r="D491" s="1" t="str">
        <f t="shared" ca="1" si="38"/>
        <v/>
      </c>
      <c r="E491" s="13" t="str">
        <f t="shared" ca="1" si="36"/>
        <v>No ruin</v>
      </c>
      <c r="F491">
        <f t="shared" ca="1" si="37"/>
        <v>0</v>
      </c>
    </row>
    <row r="492" spans="1:6">
      <c r="A492" s="3" t="str">
        <f t="shared" ca="1" si="39"/>
        <v/>
      </c>
      <c r="B492" s="2" t="str">
        <f t="shared" ca="1" si="40"/>
        <v/>
      </c>
      <c r="C492" s="2" t="str">
        <f ca="1">IF(E491="continue",SUM(B$8:B492),"")</f>
        <v/>
      </c>
      <c r="D492" s="1" t="str">
        <f t="shared" ca="1" si="38"/>
        <v/>
      </c>
      <c r="E492" s="13" t="str">
        <f t="shared" ca="1" si="36"/>
        <v>No ruin</v>
      </c>
      <c r="F492">
        <f t="shared" ca="1" si="37"/>
        <v>0</v>
      </c>
    </row>
    <row r="493" spans="1:6">
      <c r="A493" s="3" t="str">
        <f t="shared" ca="1" si="39"/>
        <v/>
      </c>
      <c r="B493" s="2" t="str">
        <f t="shared" ca="1" si="40"/>
        <v/>
      </c>
      <c r="C493" s="2" t="str">
        <f ca="1">IF(E492="continue",SUM(B$8:B493),"")</f>
        <v/>
      </c>
      <c r="D493" s="1" t="str">
        <f t="shared" ca="1" si="38"/>
        <v/>
      </c>
      <c r="E493" s="13" t="str">
        <f t="shared" ca="1" si="36"/>
        <v>No ruin</v>
      </c>
      <c r="F493">
        <f t="shared" ca="1" si="37"/>
        <v>0</v>
      </c>
    </row>
    <row r="494" spans="1:6">
      <c r="A494" s="3" t="str">
        <f t="shared" ca="1" si="39"/>
        <v/>
      </c>
      <c r="B494" s="2" t="str">
        <f t="shared" ca="1" si="40"/>
        <v/>
      </c>
      <c r="C494" s="2" t="str">
        <f ca="1">IF(E493="continue",SUM(B$8:B494),"")</f>
        <v/>
      </c>
      <c r="D494" s="1" t="str">
        <f t="shared" ca="1" si="38"/>
        <v/>
      </c>
      <c r="E494" s="13" t="str">
        <f t="shared" ca="1" si="36"/>
        <v>No ruin</v>
      </c>
      <c r="F494">
        <f t="shared" ca="1" si="37"/>
        <v>0</v>
      </c>
    </row>
    <row r="495" spans="1:6">
      <c r="A495" s="3" t="str">
        <f t="shared" ca="1" si="39"/>
        <v/>
      </c>
      <c r="B495" s="2" t="str">
        <f t="shared" ca="1" si="40"/>
        <v/>
      </c>
      <c r="C495" s="2" t="str">
        <f ca="1">IF(E494="continue",SUM(B$8:B495),"")</f>
        <v/>
      </c>
      <c r="D495" s="1" t="str">
        <f t="shared" ca="1" si="38"/>
        <v/>
      </c>
      <c r="E495" s="13" t="str">
        <f t="shared" ca="1" si="36"/>
        <v>No ruin</v>
      </c>
      <c r="F495">
        <f t="shared" ca="1" si="37"/>
        <v>0</v>
      </c>
    </row>
    <row r="496" spans="1:6">
      <c r="A496" s="3" t="str">
        <f t="shared" ca="1" si="39"/>
        <v/>
      </c>
      <c r="B496" s="2" t="str">
        <f t="shared" ca="1" si="40"/>
        <v/>
      </c>
      <c r="C496" s="2" t="str">
        <f ca="1">IF(E495="continue",SUM(B$8:B496),"")</f>
        <v/>
      </c>
      <c r="D496" s="1" t="str">
        <f t="shared" ca="1" si="38"/>
        <v/>
      </c>
      <c r="E496" s="13" t="str">
        <f t="shared" ca="1" si="36"/>
        <v>No ruin</v>
      </c>
      <c r="F496">
        <f t="shared" ca="1" si="37"/>
        <v>0</v>
      </c>
    </row>
    <row r="497" spans="1:6">
      <c r="A497" s="3" t="str">
        <f t="shared" ca="1" si="39"/>
        <v/>
      </c>
      <c r="B497" s="2" t="str">
        <f t="shared" ca="1" si="40"/>
        <v/>
      </c>
      <c r="C497" s="2" t="str">
        <f ca="1">IF(E496="continue",SUM(B$8:B497),"")</f>
        <v/>
      </c>
      <c r="D497" s="1" t="str">
        <f t="shared" ca="1" si="38"/>
        <v/>
      </c>
      <c r="E497" s="13" t="str">
        <f t="shared" ca="1" si="36"/>
        <v>No ruin</v>
      </c>
      <c r="F497">
        <f t="shared" ca="1" si="37"/>
        <v>0</v>
      </c>
    </row>
    <row r="498" spans="1:6">
      <c r="A498" s="3" t="str">
        <f t="shared" ca="1" si="39"/>
        <v/>
      </c>
      <c r="B498" s="2" t="str">
        <f t="shared" ca="1" si="40"/>
        <v/>
      </c>
      <c r="C498" s="2" t="str">
        <f ca="1">IF(E497="continue",SUM(B$8:B498),"")</f>
        <v/>
      </c>
      <c r="D498" s="1" t="str">
        <f t="shared" ca="1" si="38"/>
        <v/>
      </c>
      <c r="E498" s="13" t="str">
        <f t="shared" ca="1" si="36"/>
        <v>No ruin</v>
      </c>
      <c r="F498">
        <f t="shared" ca="1" si="37"/>
        <v>0</v>
      </c>
    </row>
    <row r="499" spans="1:6">
      <c r="A499" s="3" t="str">
        <f t="shared" ca="1" si="39"/>
        <v/>
      </c>
      <c r="B499" s="2" t="str">
        <f t="shared" ca="1" si="40"/>
        <v/>
      </c>
      <c r="C499" s="2" t="str">
        <f ca="1">IF(E498="continue",SUM(B$8:B499),"")</f>
        <v/>
      </c>
      <c r="D499" s="1" t="str">
        <f t="shared" ca="1" si="38"/>
        <v/>
      </c>
      <c r="E499" s="13" t="str">
        <f t="shared" ca="1" si="36"/>
        <v>No ruin</v>
      </c>
      <c r="F499">
        <f t="shared" ca="1" si="37"/>
        <v>0</v>
      </c>
    </row>
    <row r="500" spans="1:6">
      <c r="A500" s="3" t="str">
        <f t="shared" ca="1" si="39"/>
        <v/>
      </c>
      <c r="B500" s="2" t="str">
        <f t="shared" ca="1" si="40"/>
        <v/>
      </c>
      <c r="C500" s="2" t="str">
        <f ca="1">IF(E499="continue",SUM(B$8:B500),"")</f>
        <v/>
      </c>
      <c r="D500" s="1" t="str">
        <f t="shared" ca="1" si="38"/>
        <v/>
      </c>
      <c r="E500" s="13" t="str">
        <f t="shared" ca="1" si="36"/>
        <v>No ruin</v>
      </c>
      <c r="F500">
        <f t="shared" ca="1" si="37"/>
        <v>0</v>
      </c>
    </row>
    <row r="501" spans="1:6">
      <c r="A501" s="3" t="str">
        <f t="shared" ca="1" si="39"/>
        <v/>
      </c>
      <c r="B501" s="2" t="str">
        <f t="shared" ca="1" si="40"/>
        <v/>
      </c>
      <c r="C501" s="2" t="str">
        <f ca="1">IF(E500="continue",SUM(B$8:B501),"")</f>
        <v/>
      </c>
      <c r="D501" s="1" t="str">
        <f t="shared" ca="1" si="38"/>
        <v/>
      </c>
      <c r="E501" s="13" t="str">
        <f t="shared" ca="1" si="36"/>
        <v>No ruin</v>
      </c>
      <c r="F501">
        <f t="shared" ca="1" si="37"/>
        <v>0</v>
      </c>
    </row>
    <row r="502" spans="1:6">
      <c r="A502" s="3" t="str">
        <f t="shared" ca="1" si="39"/>
        <v/>
      </c>
      <c r="B502" s="2" t="str">
        <f t="shared" ca="1" si="40"/>
        <v/>
      </c>
      <c r="C502" s="2" t="str">
        <f ca="1">IF(E501="continue",SUM(B$8:B502),"")</f>
        <v/>
      </c>
      <c r="D502" s="1" t="str">
        <f t="shared" ca="1" si="38"/>
        <v/>
      </c>
      <c r="E502" s="13" t="str">
        <f t="shared" ca="1" si="36"/>
        <v>No ruin</v>
      </c>
      <c r="F502">
        <f t="shared" ca="1" si="37"/>
        <v>0</v>
      </c>
    </row>
    <row r="503" spans="1:6">
      <c r="A503" s="3" t="str">
        <f t="shared" ca="1" si="39"/>
        <v/>
      </c>
      <c r="B503" s="2" t="str">
        <f t="shared" ca="1" si="40"/>
        <v/>
      </c>
      <c r="C503" s="2" t="str">
        <f ca="1">IF(E502="continue",SUM(B$8:B503),"")</f>
        <v/>
      </c>
      <c r="D503" s="1" t="str">
        <f t="shared" ca="1" si="38"/>
        <v/>
      </c>
      <c r="E503" s="13" t="str">
        <f t="shared" ca="1" si="36"/>
        <v>No ruin</v>
      </c>
      <c r="F503">
        <f t="shared" ca="1" si="37"/>
        <v>0</v>
      </c>
    </row>
    <row r="504" spans="1:6">
      <c r="A504" s="3" t="str">
        <f t="shared" ca="1" si="39"/>
        <v/>
      </c>
      <c r="B504" s="2" t="str">
        <f t="shared" ca="1" si="40"/>
        <v/>
      </c>
      <c r="C504" s="2" t="str">
        <f ca="1">IF(E503="continue",SUM(B$8:B504),"")</f>
        <v/>
      </c>
      <c r="D504" s="1" t="str">
        <f t="shared" ca="1" si="38"/>
        <v/>
      </c>
      <c r="E504" s="13" t="str">
        <f t="shared" ca="1" si="36"/>
        <v>No ruin</v>
      </c>
      <c r="F504">
        <f t="shared" ca="1" si="37"/>
        <v>0</v>
      </c>
    </row>
    <row r="505" spans="1:6">
      <c r="A505" s="3" t="str">
        <f t="shared" ca="1" si="39"/>
        <v/>
      </c>
      <c r="B505" s="2" t="str">
        <f t="shared" ca="1" si="40"/>
        <v/>
      </c>
      <c r="C505" s="2" t="str">
        <f ca="1">IF(E504="continue",SUM(B$8:B505),"")</f>
        <v/>
      </c>
      <c r="D505" s="1" t="str">
        <f t="shared" ca="1" si="38"/>
        <v/>
      </c>
      <c r="E505" s="13" t="str">
        <f t="shared" ca="1" si="36"/>
        <v>No ruin</v>
      </c>
      <c r="F505">
        <f t="shared" ca="1" si="37"/>
        <v>0</v>
      </c>
    </row>
    <row r="506" spans="1:6">
      <c r="A506" s="3" t="str">
        <f t="shared" ca="1" si="39"/>
        <v/>
      </c>
      <c r="B506" s="2" t="str">
        <f t="shared" ca="1" si="40"/>
        <v/>
      </c>
      <c r="C506" s="2" t="str">
        <f ca="1">IF(E505="continue",SUM(B$8:B506),"")</f>
        <v/>
      </c>
      <c r="D506" s="1" t="str">
        <f t="shared" ca="1" si="38"/>
        <v/>
      </c>
      <c r="E506" s="13" t="str">
        <f t="shared" ca="1" si="36"/>
        <v>No ruin</v>
      </c>
      <c r="F506">
        <f t="shared" ca="1" si="37"/>
        <v>0</v>
      </c>
    </row>
    <row r="507" spans="1:6">
      <c r="A507" s="3" t="str">
        <f t="shared" ca="1" si="39"/>
        <v/>
      </c>
      <c r="B507" s="2" t="str">
        <f t="shared" ca="1" si="40"/>
        <v/>
      </c>
      <c r="C507" s="2" t="str">
        <f ca="1">IF(E506="continue",SUM(B$8:B507),"")</f>
        <v/>
      </c>
      <c r="D507" s="1" t="str">
        <f t="shared" ca="1" si="38"/>
        <v/>
      </c>
      <c r="E507" s="13" t="str">
        <f t="shared" ca="1" si="36"/>
        <v>No ruin</v>
      </c>
      <c r="F507">
        <f t="shared" ca="1" si="37"/>
        <v>0</v>
      </c>
    </row>
    <row r="508" spans="1:6">
      <c r="A508" s="3" t="str">
        <f t="shared" ca="1" si="39"/>
        <v/>
      </c>
      <c r="B508" s="2" t="str">
        <f t="shared" ca="1" si="40"/>
        <v/>
      </c>
      <c r="C508" s="2" t="str">
        <f ca="1">IF(E507="continue",SUM(B$8:B508),"")</f>
        <v/>
      </c>
      <c r="D508" s="1" t="str">
        <f t="shared" ca="1" si="38"/>
        <v/>
      </c>
      <c r="E508" s="13" t="str">
        <f t="shared" ca="1" si="36"/>
        <v>No ruin</v>
      </c>
      <c r="F508">
        <f t="shared" ca="1" si="37"/>
        <v>0</v>
      </c>
    </row>
    <row r="509" spans="1:6">
      <c r="A509" s="3" t="str">
        <f t="shared" ca="1" si="39"/>
        <v/>
      </c>
      <c r="B509" s="2" t="str">
        <f t="shared" ca="1" si="40"/>
        <v/>
      </c>
      <c r="C509" s="2" t="str">
        <f ca="1">IF(E508="continue",SUM(B$8:B509),"")</f>
        <v/>
      </c>
      <c r="D509" s="1" t="str">
        <f t="shared" ca="1" si="38"/>
        <v/>
      </c>
      <c r="E509" s="13" t="str">
        <f t="shared" ca="1" si="36"/>
        <v>No ruin</v>
      </c>
      <c r="F509">
        <f t="shared" ca="1" si="37"/>
        <v>0</v>
      </c>
    </row>
    <row r="510" spans="1:6">
      <c r="A510" s="3" t="str">
        <f t="shared" ca="1" si="39"/>
        <v/>
      </c>
      <c r="B510" s="2" t="str">
        <f t="shared" ca="1" si="40"/>
        <v/>
      </c>
      <c r="C510" s="2" t="str">
        <f ca="1">IF(E509="continue",SUM(B$8:B510),"")</f>
        <v/>
      </c>
      <c r="D510" s="1" t="str">
        <f t="shared" ca="1" si="38"/>
        <v/>
      </c>
      <c r="E510" s="13" t="str">
        <f t="shared" ca="1" si="36"/>
        <v>No ruin</v>
      </c>
      <c r="F510">
        <f t="shared" ca="1" si="37"/>
        <v>0</v>
      </c>
    </row>
    <row r="511" spans="1:6">
      <c r="A511" s="3" t="str">
        <f t="shared" ca="1" si="39"/>
        <v/>
      </c>
      <c r="B511" s="2" t="str">
        <f t="shared" ca="1" si="40"/>
        <v/>
      </c>
      <c r="C511" s="2" t="str">
        <f ca="1">IF(E510="continue",SUM(B$8:B511),"")</f>
        <v/>
      </c>
      <c r="D511" s="1" t="str">
        <f t="shared" ca="1" si="38"/>
        <v/>
      </c>
      <c r="E511" s="13" t="str">
        <f t="shared" ca="1" si="36"/>
        <v>No ruin</v>
      </c>
      <c r="F511">
        <f t="shared" ca="1" si="37"/>
        <v>0</v>
      </c>
    </row>
    <row r="512" spans="1:6">
      <c r="A512" s="3" t="str">
        <f t="shared" ca="1" si="39"/>
        <v/>
      </c>
      <c r="B512" s="2" t="str">
        <f t="shared" ca="1" si="40"/>
        <v/>
      </c>
      <c r="C512" s="2" t="str">
        <f ca="1">IF(E511="continue",SUM(B$8:B512),"")</f>
        <v/>
      </c>
      <c r="D512" s="1" t="str">
        <f t="shared" ca="1" si="38"/>
        <v/>
      </c>
      <c r="E512" s="13" t="str">
        <f t="shared" ca="1" si="36"/>
        <v>No ruin</v>
      </c>
      <c r="F512">
        <f t="shared" ca="1" si="37"/>
        <v>0</v>
      </c>
    </row>
    <row r="513" spans="1:6">
      <c r="A513" s="3" t="str">
        <f t="shared" ca="1" si="39"/>
        <v/>
      </c>
      <c r="B513" s="2" t="str">
        <f t="shared" ca="1" si="40"/>
        <v/>
      </c>
      <c r="C513" s="2" t="str">
        <f ca="1">IF(E512="continue",SUM(B$8:B513),"")</f>
        <v/>
      </c>
      <c r="D513" s="1" t="str">
        <f t="shared" ca="1" si="38"/>
        <v/>
      </c>
      <c r="E513" s="13" t="str">
        <f t="shared" ca="1" si="36"/>
        <v>No ruin</v>
      </c>
      <c r="F513">
        <f t="shared" ca="1" si="37"/>
        <v>0</v>
      </c>
    </row>
    <row r="514" spans="1:6">
      <c r="A514" s="3" t="str">
        <f t="shared" ca="1" si="39"/>
        <v/>
      </c>
      <c r="B514" s="2" t="str">
        <f t="shared" ca="1" si="40"/>
        <v/>
      </c>
      <c r="C514" s="2" t="str">
        <f ca="1">IF(E513="continue",SUM(B$8:B514),"")</f>
        <v/>
      </c>
      <c r="D514" s="1" t="str">
        <f t="shared" ca="1" si="38"/>
        <v/>
      </c>
      <c r="E514" s="13" t="str">
        <f t="shared" ca="1" si="36"/>
        <v>No ruin</v>
      </c>
      <c r="F514">
        <f t="shared" ca="1" si="37"/>
        <v>0</v>
      </c>
    </row>
    <row r="515" spans="1:6">
      <c r="A515" s="3" t="str">
        <f t="shared" ca="1" si="39"/>
        <v/>
      </c>
      <c r="B515" s="2" t="str">
        <f t="shared" ca="1" si="40"/>
        <v/>
      </c>
      <c r="C515" s="2" t="str">
        <f ca="1">IF(E514="continue",SUM(B$8:B515),"")</f>
        <v/>
      </c>
      <c r="D515" s="1" t="str">
        <f t="shared" ca="1" si="38"/>
        <v/>
      </c>
      <c r="E515" s="13" t="str">
        <f t="shared" ca="1" si="36"/>
        <v>No ruin</v>
      </c>
      <c r="F515">
        <f t="shared" ca="1" si="37"/>
        <v>0</v>
      </c>
    </row>
    <row r="516" spans="1:6">
      <c r="A516" s="3" t="str">
        <f t="shared" ca="1" si="39"/>
        <v/>
      </c>
      <c r="B516" s="2" t="str">
        <f t="shared" ca="1" si="40"/>
        <v/>
      </c>
      <c r="C516" s="2" t="str">
        <f ca="1">IF(E515="continue",SUM(B$8:B516),"")</f>
        <v/>
      </c>
      <c r="D516" s="1" t="str">
        <f t="shared" ca="1" si="38"/>
        <v/>
      </c>
      <c r="E516" s="13" t="str">
        <f t="shared" ca="1" si="36"/>
        <v>No ruin</v>
      </c>
      <c r="F516">
        <f t="shared" ca="1" si="37"/>
        <v>0</v>
      </c>
    </row>
    <row r="517" spans="1:6">
      <c r="A517" s="3" t="str">
        <f t="shared" ca="1" si="39"/>
        <v/>
      </c>
      <c r="B517" s="2" t="str">
        <f t="shared" ca="1" si="40"/>
        <v/>
      </c>
      <c r="C517" s="2" t="str">
        <f ca="1">IF(E516="continue",SUM(B$8:B517),"")</f>
        <v/>
      </c>
      <c r="D517" s="1" t="str">
        <f t="shared" ca="1" si="38"/>
        <v/>
      </c>
      <c r="E517" s="13" t="str">
        <f t="shared" ca="1" si="36"/>
        <v>No ruin</v>
      </c>
      <c r="F517">
        <f t="shared" ca="1" si="37"/>
        <v>0</v>
      </c>
    </row>
    <row r="518" spans="1:6">
      <c r="A518" s="3" t="str">
        <f t="shared" ca="1" si="39"/>
        <v/>
      </c>
      <c r="B518" s="2" t="str">
        <f t="shared" ca="1" si="40"/>
        <v/>
      </c>
      <c r="C518" s="2" t="str">
        <f ca="1">IF(E517="continue",SUM(B$8:B518),"")</f>
        <v/>
      </c>
      <c r="D518" s="1" t="str">
        <f t="shared" ca="1" si="38"/>
        <v/>
      </c>
      <c r="E518" s="13" t="str">
        <f t="shared" ca="1" si="36"/>
        <v>No ruin</v>
      </c>
      <c r="F518">
        <f t="shared" ca="1" si="37"/>
        <v>0</v>
      </c>
    </row>
    <row r="519" spans="1:6">
      <c r="A519" s="3" t="str">
        <f t="shared" ca="1" si="39"/>
        <v/>
      </c>
      <c r="B519" s="2" t="str">
        <f t="shared" ca="1" si="40"/>
        <v/>
      </c>
      <c r="C519" s="2" t="str">
        <f ca="1">IF(E518="continue",SUM(B$8:B519),"")</f>
        <v/>
      </c>
      <c r="D519" s="1" t="str">
        <f t="shared" ca="1" si="38"/>
        <v/>
      </c>
      <c r="E519" s="13" t="str">
        <f t="shared" ca="1" si="36"/>
        <v>No ruin</v>
      </c>
      <c r="F519">
        <f t="shared" ca="1" si="37"/>
        <v>0</v>
      </c>
    </row>
    <row r="520" spans="1:6">
      <c r="A520" s="3" t="str">
        <f t="shared" ca="1" si="39"/>
        <v/>
      </c>
      <c r="B520" s="2" t="str">
        <f t="shared" ca="1" si="40"/>
        <v/>
      </c>
      <c r="C520" s="2" t="str">
        <f ca="1">IF(E519="continue",SUM(B$8:B520),"")</f>
        <v/>
      </c>
      <c r="D520" s="1" t="str">
        <f t="shared" ca="1" si="38"/>
        <v/>
      </c>
      <c r="E520" s="13" t="str">
        <f t="shared" ca="1" si="36"/>
        <v>No ruin</v>
      </c>
      <c r="F520">
        <f t="shared" ca="1" si="37"/>
        <v>0</v>
      </c>
    </row>
    <row r="521" spans="1:6">
      <c r="A521" s="3" t="str">
        <f t="shared" ca="1" si="39"/>
        <v/>
      </c>
      <c r="B521" s="2" t="str">
        <f t="shared" ca="1" si="40"/>
        <v/>
      </c>
      <c r="C521" s="2" t="str">
        <f ca="1">IF(E520="continue",SUM(B$8:B521),"")</f>
        <v/>
      </c>
      <c r="D521" s="1" t="str">
        <f t="shared" ca="1" si="38"/>
        <v/>
      </c>
      <c r="E521" s="13" t="str">
        <f t="shared" ca="1" si="36"/>
        <v>No ruin</v>
      </c>
      <c r="F521">
        <f t="shared" ca="1" si="37"/>
        <v>0</v>
      </c>
    </row>
    <row r="522" spans="1:6">
      <c r="A522" s="3" t="str">
        <f t="shared" ca="1" si="39"/>
        <v/>
      </c>
      <c r="B522" s="2" t="str">
        <f t="shared" ca="1" si="40"/>
        <v/>
      </c>
      <c r="C522" s="2" t="str">
        <f ca="1">IF(E521="continue",SUM(B$8:B522),"")</f>
        <v/>
      </c>
      <c r="D522" s="1" t="str">
        <f t="shared" ca="1" si="38"/>
        <v/>
      </c>
      <c r="E522" s="13" t="str">
        <f t="shared" ref="E522:E539" ca="1" si="41">IF(A522&gt;G$1,"No ruin",IF(AND(A522&lt;=G$1,C522&gt;J$4+D522),"RUIN","continue"))</f>
        <v>No ruin</v>
      </c>
      <c r="F522">
        <f t="shared" ref="F522:F585" ca="1" si="42">IF(E522="RUIN",1,0)</f>
        <v>0</v>
      </c>
    </row>
    <row r="523" spans="1:6">
      <c r="A523" s="3" t="str">
        <f t="shared" ca="1" si="39"/>
        <v/>
      </c>
      <c r="B523" s="2" t="str">
        <f t="shared" ca="1" si="40"/>
        <v/>
      </c>
      <c r="C523" s="2" t="str">
        <f ca="1">IF(E522="continue",SUM(B$8:B523),"")</f>
        <v/>
      </c>
      <c r="D523" s="1" t="str">
        <f t="shared" ref="D523:D539" ca="1" si="43">IF(E522="continue",(1+J$1)*(1/O$3)*M$3*A523,"")</f>
        <v/>
      </c>
      <c r="E523" s="13" t="str">
        <f t="shared" ca="1" si="41"/>
        <v>No ruin</v>
      </c>
      <c r="F523">
        <f t="shared" ca="1" si="42"/>
        <v>0</v>
      </c>
    </row>
    <row r="524" spans="1:6">
      <c r="A524" s="3" t="str">
        <f t="shared" ref="A524:A539" ca="1" si="44">IF(E523="continue",-LN(1-RAND())*O$3+A523,"")</f>
        <v/>
      </c>
      <c r="B524" s="2" t="str">
        <f t="shared" ref="B524:B539" ca="1" si="45">IF(E523="continue",-LN(1-RAND())*M$3,"")</f>
        <v/>
      </c>
      <c r="C524" s="2" t="str">
        <f ca="1">IF(E523="continue",SUM(B$8:B524),"")</f>
        <v/>
      </c>
      <c r="D524" s="1" t="str">
        <f t="shared" ca="1" si="43"/>
        <v/>
      </c>
      <c r="E524" s="13" t="str">
        <f t="shared" ca="1" si="41"/>
        <v>No ruin</v>
      </c>
      <c r="F524">
        <f t="shared" ca="1" si="42"/>
        <v>0</v>
      </c>
    </row>
    <row r="525" spans="1:6">
      <c r="A525" s="3" t="str">
        <f t="shared" ca="1" si="44"/>
        <v/>
      </c>
      <c r="B525" s="2" t="str">
        <f t="shared" ca="1" si="45"/>
        <v/>
      </c>
      <c r="C525" s="2" t="str">
        <f ca="1">IF(E524="continue",SUM(B$8:B525),"")</f>
        <v/>
      </c>
      <c r="D525" s="1" t="str">
        <f t="shared" ca="1" si="43"/>
        <v/>
      </c>
      <c r="E525" s="13" t="str">
        <f t="shared" ca="1" si="41"/>
        <v>No ruin</v>
      </c>
      <c r="F525">
        <f t="shared" ca="1" si="42"/>
        <v>0</v>
      </c>
    </row>
    <row r="526" spans="1:6">
      <c r="A526" s="3" t="str">
        <f t="shared" ca="1" si="44"/>
        <v/>
      </c>
      <c r="B526" s="2" t="str">
        <f t="shared" ca="1" si="45"/>
        <v/>
      </c>
      <c r="C526" s="2" t="str">
        <f ca="1">IF(E525="continue",SUM(B$8:B526),"")</f>
        <v/>
      </c>
      <c r="D526" s="1" t="str">
        <f t="shared" ca="1" si="43"/>
        <v/>
      </c>
      <c r="E526" s="13" t="str">
        <f t="shared" ca="1" si="41"/>
        <v>No ruin</v>
      </c>
      <c r="F526">
        <f t="shared" ca="1" si="42"/>
        <v>0</v>
      </c>
    </row>
    <row r="527" spans="1:6">
      <c r="A527" s="3" t="str">
        <f t="shared" ca="1" si="44"/>
        <v/>
      </c>
      <c r="B527" s="2" t="str">
        <f t="shared" ca="1" si="45"/>
        <v/>
      </c>
      <c r="C527" s="2" t="str">
        <f ca="1">IF(E526="continue",SUM(B$8:B527),"")</f>
        <v/>
      </c>
      <c r="D527" s="1" t="str">
        <f t="shared" ca="1" si="43"/>
        <v/>
      </c>
      <c r="E527" s="13" t="str">
        <f t="shared" ca="1" si="41"/>
        <v>No ruin</v>
      </c>
      <c r="F527">
        <f t="shared" ca="1" si="42"/>
        <v>0</v>
      </c>
    </row>
    <row r="528" spans="1:6">
      <c r="A528" s="3" t="str">
        <f t="shared" ca="1" si="44"/>
        <v/>
      </c>
      <c r="B528" s="2" t="str">
        <f t="shared" ca="1" si="45"/>
        <v/>
      </c>
      <c r="C528" s="2" t="str">
        <f ca="1">IF(E527="continue",SUM(B$8:B528),"")</f>
        <v/>
      </c>
      <c r="D528" s="1" t="str">
        <f t="shared" ca="1" si="43"/>
        <v/>
      </c>
      <c r="E528" s="13" t="str">
        <f t="shared" ca="1" si="41"/>
        <v>No ruin</v>
      </c>
      <c r="F528">
        <f t="shared" ca="1" si="42"/>
        <v>0</v>
      </c>
    </row>
    <row r="529" spans="1:6">
      <c r="A529" s="3" t="str">
        <f t="shared" ca="1" si="44"/>
        <v/>
      </c>
      <c r="B529" s="2" t="str">
        <f t="shared" ca="1" si="45"/>
        <v/>
      </c>
      <c r="C529" s="2" t="str">
        <f ca="1">IF(E528="continue",SUM(B$8:B529),"")</f>
        <v/>
      </c>
      <c r="D529" s="1" t="str">
        <f t="shared" ca="1" si="43"/>
        <v/>
      </c>
      <c r="E529" s="13" t="str">
        <f t="shared" ca="1" si="41"/>
        <v>No ruin</v>
      </c>
      <c r="F529">
        <f t="shared" ca="1" si="42"/>
        <v>0</v>
      </c>
    </row>
    <row r="530" spans="1:6">
      <c r="A530" s="3" t="str">
        <f t="shared" ca="1" si="44"/>
        <v/>
      </c>
      <c r="B530" s="2" t="str">
        <f t="shared" ca="1" si="45"/>
        <v/>
      </c>
      <c r="C530" s="2" t="str">
        <f ca="1">IF(E529="continue",SUM(B$8:B530),"")</f>
        <v/>
      </c>
      <c r="D530" s="1" t="str">
        <f t="shared" ca="1" si="43"/>
        <v/>
      </c>
      <c r="E530" s="13" t="str">
        <f t="shared" ca="1" si="41"/>
        <v>No ruin</v>
      </c>
      <c r="F530">
        <f t="shared" ca="1" si="42"/>
        <v>0</v>
      </c>
    </row>
    <row r="531" spans="1:6">
      <c r="A531" s="3" t="str">
        <f t="shared" ca="1" si="44"/>
        <v/>
      </c>
      <c r="B531" s="2" t="str">
        <f t="shared" ca="1" si="45"/>
        <v/>
      </c>
      <c r="C531" s="2" t="str">
        <f ca="1">IF(E530="continue",SUM(B$8:B531),"")</f>
        <v/>
      </c>
      <c r="D531" s="1" t="str">
        <f t="shared" ca="1" si="43"/>
        <v/>
      </c>
      <c r="E531" s="13" t="str">
        <f t="shared" ca="1" si="41"/>
        <v>No ruin</v>
      </c>
      <c r="F531">
        <f t="shared" ca="1" si="42"/>
        <v>0</v>
      </c>
    </row>
    <row r="532" spans="1:6">
      <c r="A532" s="3" t="str">
        <f t="shared" ca="1" si="44"/>
        <v/>
      </c>
      <c r="B532" s="2" t="str">
        <f t="shared" ca="1" si="45"/>
        <v/>
      </c>
      <c r="C532" s="2" t="str">
        <f ca="1">IF(E531="continue",SUM(B$8:B532),"")</f>
        <v/>
      </c>
      <c r="D532" s="1" t="str">
        <f t="shared" ca="1" si="43"/>
        <v/>
      </c>
      <c r="E532" s="13" t="str">
        <f t="shared" ca="1" si="41"/>
        <v>No ruin</v>
      </c>
      <c r="F532">
        <f t="shared" ca="1" si="42"/>
        <v>0</v>
      </c>
    </row>
    <row r="533" spans="1:6">
      <c r="A533" s="3" t="str">
        <f t="shared" ca="1" si="44"/>
        <v/>
      </c>
      <c r="B533" s="2" t="str">
        <f t="shared" ca="1" si="45"/>
        <v/>
      </c>
      <c r="C533" s="2" t="str">
        <f ca="1">IF(E532="continue",SUM(B$8:B533),"")</f>
        <v/>
      </c>
      <c r="D533" s="1" t="str">
        <f t="shared" ca="1" si="43"/>
        <v/>
      </c>
      <c r="E533" s="13" t="str">
        <f t="shared" ca="1" si="41"/>
        <v>No ruin</v>
      </c>
      <c r="F533">
        <f t="shared" ca="1" si="42"/>
        <v>0</v>
      </c>
    </row>
    <row r="534" spans="1:6">
      <c r="A534" s="3" t="str">
        <f t="shared" ca="1" si="44"/>
        <v/>
      </c>
      <c r="B534" s="2" t="str">
        <f t="shared" ca="1" si="45"/>
        <v/>
      </c>
      <c r="C534" s="2" t="str">
        <f ca="1">IF(E533="continue",SUM(B$8:B534),"")</f>
        <v/>
      </c>
      <c r="D534" s="1" t="str">
        <f t="shared" ca="1" si="43"/>
        <v/>
      </c>
      <c r="E534" s="13" t="str">
        <f t="shared" ca="1" si="41"/>
        <v>No ruin</v>
      </c>
      <c r="F534">
        <f t="shared" ca="1" si="42"/>
        <v>0</v>
      </c>
    </row>
    <row r="535" spans="1:6">
      <c r="A535" s="3" t="str">
        <f t="shared" ca="1" si="44"/>
        <v/>
      </c>
      <c r="B535" s="2" t="str">
        <f t="shared" ca="1" si="45"/>
        <v/>
      </c>
      <c r="C535" s="2" t="str">
        <f ca="1">IF(E534="continue",SUM(B$8:B535),"")</f>
        <v/>
      </c>
      <c r="D535" s="1" t="str">
        <f t="shared" ca="1" si="43"/>
        <v/>
      </c>
      <c r="E535" s="13" t="str">
        <f t="shared" ca="1" si="41"/>
        <v>No ruin</v>
      </c>
      <c r="F535">
        <f t="shared" ca="1" si="42"/>
        <v>0</v>
      </c>
    </row>
    <row r="536" spans="1:6">
      <c r="A536" s="3" t="str">
        <f t="shared" ca="1" si="44"/>
        <v/>
      </c>
      <c r="B536" s="2" t="str">
        <f t="shared" ca="1" si="45"/>
        <v/>
      </c>
      <c r="C536" s="2" t="str">
        <f ca="1">IF(E535="continue",SUM(B$8:B536),"")</f>
        <v/>
      </c>
      <c r="D536" s="1" t="str">
        <f t="shared" ca="1" si="43"/>
        <v/>
      </c>
      <c r="E536" s="13" t="str">
        <f t="shared" ca="1" si="41"/>
        <v>No ruin</v>
      </c>
      <c r="F536">
        <f t="shared" ca="1" si="42"/>
        <v>0</v>
      </c>
    </row>
    <row r="537" spans="1:6">
      <c r="A537" s="3" t="str">
        <f t="shared" ca="1" si="44"/>
        <v/>
      </c>
      <c r="B537" s="2" t="str">
        <f t="shared" ca="1" si="45"/>
        <v/>
      </c>
      <c r="C537" s="2" t="str">
        <f ca="1">IF(E536="continue",SUM(B$8:B537),"")</f>
        <v/>
      </c>
      <c r="D537" s="1" t="str">
        <f t="shared" ca="1" si="43"/>
        <v/>
      </c>
      <c r="E537" s="13" t="str">
        <f t="shared" ca="1" si="41"/>
        <v>No ruin</v>
      </c>
      <c r="F537">
        <f t="shared" ca="1" si="42"/>
        <v>0</v>
      </c>
    </row>
    <row r="538" spans="1:6">
      <c r="A538" s="3" t="str">
        <f t="shared" ca="1" si="44"/>
        <v/>
      </c>
      <c r="B538" s="2" t="str">
        <f t="shared" ca="1" si="45"/>
        <v/>
      </c>
      <c r="C538" s="2" t="str">
        <f ca="1">IF(E537="continue",SUM(B$8:B538),"")</f>
        <v/>
      </c>
      <c r="D538" s="1" t="str">
        <f t="shared" ca="1" si="43"/>
        <v/>
      </c>
      <c r="E538" s="13" t="str">
        <f t="shared" ca="1" si="41"/>
        <v>No ruin</v>
      </c>
      <c r="F538">
        <f t="shared" ca="1" si="42"/>
        <v>0</v>
      </c>
    </row>
    <row r="539" spans="1:6">
      <c r="A539" s="3" t="str">
        <f t="shared" ca="1" si="44"/>
        <v/>
      </c>
      <c r="B539" s="2" t="str">
        <f t="shared" ca="1" si="45"/>
        <v/>
      </c>
      <c r="C539" s="2" t="str">
        <f ca="1">IF(E538="continue",SUM(B$8:B539),"")</f>
        <v/>
      </c>
      <c r="D539" s="1" t="str">
        <f t="shared" ca="1" si="43"/>
        <v/>
      </c>
      <c r="E539" s="13" t="str">
        <f t="shared" ca="1" si="41"/>
        <v>No ruin</v>
      </c>
      <c r="F539">
        <f t="shared" ca="1" si="42"/>
        <v>0</v>
      </c>
    </row>
    <row r="540" spans="1:6">
      <c r="A540" s="3" t="str">
        <f t="shared" ref="A540:A603" ca="1" si="46">IF(E539="continue",-LN(1-RAND())*O$3+A539,"")</f>
        <v/>
      </c>
      <c r="B540" s="2" t="str">
        <f t="shared" ref="B540:B603" ca="1" si="47">IF(E539="continue",-LN(1-RAND())*M$3,"")</f>
        <v/>
      </c>
      <c r="C540" s="2" t="str">
        <f ca="1">IF(E539="continue",SUM(B$8:B540),"")</f>
        <v/>
      </c>
      <c r="D540" s="1" t="str">
        <f t="shared" ref="D540:D603" ca="1" si="48">IF(E539="continue",(1+J$1)*(1/O$3)*M$3*A540,"")</f>
        <v/>
      </c>
      <c r="E540" s="13" t="str">
        <f t="shared" ref="E540:E603" ca="1" si="49">IF(A540&gt;G$1,"No ruin",IF(AND(A540&lt;=G$1,C540&gt;J$4+D540),"RUIN","continue"))</f>
        <v>No ruin</v>
      </c>
      <c r="F540">
        <f t="shared" ca="1" si="42"/>
        <v>0</v>
      </c>
    </row>
    <row r="541" spans="1:6">
      <c r="A541" s="3" t="str">
        <f t="shared" ca="1" si="46"/>
        <v/>
      </c>
      <c r="B541" s="2" t="str">
        <f t="shared" ca="1" si="47"/>
        <v/>
      </c>
      <c r="C541" s="2" t="str">
        <f ca="1">IF(E540="continue",SUM(B$8:B541),"")</f>
        <v/>
      </c>
      <c r="D541" s="1" t="str">
        <f t="shared" ca="1" si="48"/>
        <v/>
      </c>
      <c r="E541" s="13" t="str">
        <f t="shared" ca="1" si="49"/>
        <v>No ruin</v>
      </c>
      <c r="F541">
        <f t="shared" ca="1" si="42"/>
        <v>0</v>
      </c>
    </row>
    <row r="542" spans="1:6">
      <c r="A542" s="3" t="str">
        <f t="shared" ca="1" si="46"/>
        <v/>
      </c>
      <c r="B542" s="2" t="str">
        <f t="shared" ca="1" si="47"/>
        <v/>
      </c>
      <c r="C542" s="2" t="str">
        <f ca="1">IF(E541="continue",SUM(B$8:B542),"")</f>
        <v/>
      </c>
      <c r="D542" s="1" t="str">
        <f t="shared" ca="1" si="48"/>
        <v/>
      </c>
      <c r="E542" s="13" t="str">
        <f t="shared" ca="1" si="49"/>
        <v>No ruin</v>
      </c>
      <c r="F542">
        <f t="shared" ca="1" si="42"/>
        <v>0</v>
      </c>
    </row>
    <row r="543" spans="1:6">
      <c r="A543" s="3" t="str">
        <f t="shared" ca="1" si="46"/>
        <v/>
      </c>
      <c r="B543" s="2" t="str">
        <f t="shared" ca="1" si="47"/>
        <v/>
      </c>
      <c r="C543" s="2" t="str">
        <f ca="1">IF(E542="continue",SUM(B$8:B543),"")</f>
        <v/>
      </c>
      <c r="D543" s="1" t="str">
        <f t="shared" ca="1" si="48"/>
        <v/>
      </c>
      <c r="E543" s="13" t="str">
        <f t="shared" ca="1" si="49"/>
        <v>No ruin</v>
      </c>
      <c r="F543">
        <f t="shared" ca="1" si="42"/>
        <v>0</v>
      </c>
    </row>
    <row r="544" spans="1:6">
      <c r="A544" s="3" t="str">
        <f t="shared" ca="1" si="46"/>
        <v/>
      </c>
      <c r="B544" s="2" t="str">
        <f t="shared" ca="1" si="47"/>
        <v/>
      </c>
      <c r="C544" s="2" t="str">
        <f ca="1">IF(E543="continue",SUM(B$8:B544),"")</f>
        <v/>
      </c>
      <c r="D544" s="1" t="str">
        <f t="shared" ca="1" si="48"/>
        <v/>
      </c>
      <c r="E544" s="13" t="str">
        <f t="shared" ca="1" si="49"/>
        <v>No ruin</v>
      </c>
      <c r="F544">
        <f t="shared" ca="1" si="42"/>
        <v>0</v>
      </c>
    </row>
    <row r="545" spans="1:6">
      <c r="A545" s="3" t="str">
        <f t="shared" ca="1" si="46"/>
        <v/>
      </c>
      <c r="B545" s="2" t="str">
        <f t="shared" ca="1" si="47"/>
        <v/>
      </c>
      <c r="C545" s="2" t="str">
        <f ca="1">IF(E544="continue",SUM(B$8:B545),"")</f>
        <v/>
      </c>
      <c r="D545" s="1" t="str">
        <f t="shared" ca="1" si="48"/>
        <v/>
      </c>
      <c r="E545" s="13" t="str">
        <f t="shared" ca="1" si="49"/>
        <v>No ruin</v>
      </c>
      <c r="F545">
        <f t="shared" ca="1" si="42"/>
        <v>0</v>
      </c>
    </row>
    <row r="546" spans="1:6">
      <c r="A546" s="3" t="str">
        <f t="shared" ca="1" si="46"/>
        <v/>
      </c>
      <c r="B546" s="2" t="str">
        <f t="shared" ca="1" si="47"/>
        <v/>
      </c>
      <c r="C546" s="2" t="str">
        <f ca="1">IF(E545="continue",SUM(B$8:B546),"")</f>
        <v/>
      </c>
      <c r="D546" s="1" t="str">
        <f t="shared" ca="1" si="48"/>
        <v/>
      </c>
      <c r="E546" s="13" t="str">
        <f t="shared" ca="1" si="49"/>
        <v>No ruin</v>
      </c>
      <c r="F546">
        <f t="shared" ca="1" si="42"/>
        <v>0</v>
      </c>
    </row>
    <row r="547" spans="1:6">
      <c r="A547" s="3" t="str">
        <f t="shared" ca="1" si="46"/>
        <v/>
      </c>
      <c r="B547" s="2" t="str">
        <f t="shared" ca="1" si="47"/>
        <v/>
      </c>
      <c r="C547" s="2" t="str">
        <f ca="1">IF(E546="continue",SUM(B$8:B547),"")</f>
        <v/>
      </c>
      <c r="D547" s="1" t="str">
        <f t="shared" ca="1" si="48"/>
        <v/>
      </c>
      <c r="E547" s="13" t="str">
        <f t="shared" ca="1" si="49"/>
        <v>No ruin</v>
      </c>
      <c r="F547">
        <f t="shared" ca="1" si="42"/>
        <v>0</v>
      </c>
    </row>
    <row r="548" spans="1:6">
      <c r="A548" s="3" t="str">
        <f t="shared" ca="1" si="46"/>
        <v/>
      </c>
      <c r="B548" s="2" t="str">
        <f t="shared" ca="1" si="47"/>
        <v/>
      </c>
      <c r="C548" s="2" t="str">
        <f ca="1">IF(E547="continue",SUM(B$8:B548),"")</f>
        <v/>
      </c>
      <c r="D548" s="1" t="str">
        <f t="shared" ca="1" si="48"/>
        <v/>
      </c>
      <c r="E548" s="13" t="str">
        <f t="shared" ca="1" si="49"/>
        <v>No ruin</v>
      </c>
      <c r="F548">
        <f t="shared" ca="1" si="42"/>
        <v>0</v>
      </c>
    </row>
    <row r="549" spans="1:6">
      <c r="A549" s="3" t="str">
        <f t="shared" ca="1" si="46"/>
        <v/>
      </c>
      <c r="B549" s="2" t="str">
        <f t="shared" ca="1" si="47"/>
        <v/>
      </c>
      <c r="C549" s="2" t="str">
        <f ca="1">IF(E548="continue",SUM(B$8:B549),"")</f>
        <v/>
      </c>
      <c r="D549" s="1" t="str">
        <f t="shared" ca="1" si="48"/>
        <v/>
      </c>
      <c r="E549" s="13" t="str">
        <f t="shared" ca="1" si="49"/>
        <v>No ruin</v>
      </c>
      <c r="F549">
        <f t="shared" ca="1" si="42"/>
        <v>0</v>
      </c>
    </row>
    <row r="550" spans="1:6">
      <c r="A550" s="3" t="str">
        <f t="shared" ca="1" si="46"/>
        <v/>
      </c>
      <c r="B550" s="2" t="str">
        <f t="shared" ca="1" si="47"/>
        <v/>
      </c>
      <c r="C550" s="2" t="str">
        <f ca="1">IF(E549="continue",SUM(B$8:B550),"")</f>
        <v/>
      </c>
      <c r="D550" s="1" t="str">
        <f t="shared" ca="1" si="48"/>
        <v/>
      </c>
      <c r="E550" s="13" t="str">
        <f t="shared" ca="1" si="49"/>
        <v>No ruin</v>
      </c>
      <c r="F550">
        <f t="shared" ca="1" si="42"/>
        <v>0</v>
      </c>
    </row>
    <row r="551" spans="1:6">
      <c r="A551" s="3" t="str">
        <f t="shared" ca="1" si="46"/>
        <v/>
      </c>
      <c r="B551" s="2" t="str">
        <f t="shared" ca="1" si="47"/>
        <v/>
      </c>
      <c r="C551" s="2" t="str">
        <f ca="1">IF(E550="continue",SUM(B$8:B551),"")</f>
        <v/>
      </c>
      <c r="D551" s="1" t="str">
        <f t="shared" ca="1" si="48"/>
        <v/>
      </c>
      <c r="E551" s="13" t="str">
        <f t="shared" ca="1" si="49"/>
        <v>No ruin</v>
      </c>
      <c r="F551">
        <f t="shared" ca="1" si="42"/>
        <v>0</v>
      </c>
    </row>
    <row r="552" spans="1:6">
      <c r="A552" s="3" t="str">
        <f t="shared" ca="1" si="46"/>
        <v/>
      </c>
      <c r="B552" s="2" t="str">
        <f t="shared" ca="1" si="47"/>
        <v/>
      </c>
      <c r="C552" s="2" t="str">
        <f ca="1">IF(E551="continue",SUM(B$8:B552),"")</f>
        <v/>
      </c>
      <c r="D552" s="1" t="str">
        <f t="shared" ca="1" si="48"/>
        <v/>
      </c>
      <c r="E552" s="13" t="str">
        <f t="shared" ca="1" si="49"/>
        <v>No ruin</v>
      </c>
      <c r="F552">
        <f t="shared" ca="1" si="42"/>
        <v>0</v>
      </c>
    </row>
    <row r="553" spans="1:6">
      <c r="A553" s="3" t="str">
        <f t="shared" ca="1" si="46"/>
        <v/>
      </c>
      <c r="B553" s="2" t="str">
        <f t="shared" ca="1" si="47"/>
        <v/>
      </c>
      <c r="C553" s="2" t="str">
        <f ca="1">IF(E552="continue",SUM(B$8:B553),"")</f>
        <v/>
      </c>
      <c r="D553" s="1" t="str">
        <f t="shared" ca="1" si="48"/>
        <v/>
      </c>
      <c r="E553" s="13" t="str">
        <f t="shared" ca="1" si="49"/>
        <v>No ruin</v>
      </c>
      <c r="F553">
        <f t="shared" ca="1" si="42"/>
        <v>0</v>
      </c>
    </row>
    <row r="554" spans="1:6">
      <c r="A554" s="3" t="str">
        <f t="shared" ca="1" si="46"/>
        <v/>
      </c>
      <c r="B554" s="2" t="str">
        <f t="shared" ca="1" si="47"/>
        <v/>
      </c>
      <c r="C554" s="2" t="str">
        <f ca="1">IF(E553="continue",SUM(B$8:B554),"")</f>
        <v/>
      </c>
      <c r="D554" s="1" t="str">
        <f t="shared" ca="1" si="48"/>
        <v/>
      </c>
      <c r="E554" s="13" t="str">
        <f t="shared" ca="1" si="49"/>
        <v>No ruin</v>
      </c>
      <c r="F554">
        <f t="shared" ca="1" si="42"/>
        <v>0</v>
      </c>
    </row>
    <row r="555" spans="1:6">
      <c r="A555" s="3" t="str">
        <f t="shared" ca="1" si="46"/>
        <v/>
      </c>
      <c r="B555" s="2" t="str">
        <f t="shared" ca="1" si="47"/>
        <v/>
      </c>
      <c r="C555" s="2" t="str">
        <f ca="1">IF(E554="continue",SUM(B$8:B555),"")</f>
        <v/>
      </c>
      <c r="D555" s="1" t="str">
        <f t="shared" ca="1" si="48"/>
        <v/>
      </c>
      <c r="E555" s="13" t="str">
        <f t="shared" ca="1" si="49"/>
        <v>No ruin</v>
      </c>
      <c r="F555">
        <f t="shared" ca="1" si="42"/>
        <v>0</v>
      </c>
    </row>
    <row r="556" spans="1:6">
      <c r="A556" s="3" t="str">
        <f t="shared" ca="1" si="46"/>
        <v/>
      </c>
      <c r="B556" s="2" t="str">
        <f t="shared" ca="1" si="47"/>
        <v/>
      </c>
      <c r="C556" s="2" t="str">
        <f ca="1">IF(E555="continue",SUM(B$8:B556),"")</f>
        <v/>
      </c>
      <c r="D556" s="1" t="str">
        <f t="shared" ca="1" si="48"/>
        <v/>
      </c>
      <c r="E556" s="13" t="str">
        <f t="shared" ca="1" si="49"/>
        <v>No ruin</v>
      </c>
      <c r="F556">
        <f t="shared" ca="1" si="42"/>
        <v>0</v>
      </c>
    </row>
    <row r="557" spans="1:6">
      <c r="A557" s="3" t="str">
        <f t="shared" ca="1" si="46"/>
        <v/>
      </c>
      <c r="B557" s="2" t="str">
        <f t="shared" ca="1" si="47"/>
        <v/>
      </c>
      <c r="C557" s="2" t="str">
        <f ca="1">IF(E556="continue",SUM(B$8:B557),"")</f>
        <v/>
      </c>
      <c r="D557" s="1" t="str">
        <f t="shared" ca="1" si="48"/>
        <v/>
      </c>
      <c r="E557" s="13" t="str">
        <f t="shared" ca="1" si="49"/>
        <v>No ruin</v>
      </c>
      <c r="F557">
        <f t="shared" ca="1" si="42"/>
        <v>0</v>
      </c>
    </row>
    <row r="558" spans="1:6">
      <c r="A558" s="3" t="str">
        <f t="shared" ca="1" si="46"/>
        <v/>
      </c>
      <c r="B558" s="2" t="str">
        <f t="shared" ca="1" si="47"/>
        <v/>
      </c>
      <c r="C558" s="2" t="str">
        <f ca="1">IF(E557="continue",SUM(B$8:B558),"")</f>
        <v/>
      </c>
      <c r="D558" s="1" t="str">
        <f t="shared" ca="1" si="48"/>
        <v/>
      </c>
      <c r="E558" s="13" t="str">
        <f t="shared" ca="1" si="49"/>
        <v>No ruin</v>
      </c>
      <c r="F558">
        <f t="shared" ca="1" si="42"/>
        <v>0</v>
      </c>
    </row>
    <row r="559" spans="1:6">
      <c r="A559" s="3" t="str">
        <f t="shared" ca="1" si="46"/>
        <v/>
      </c>
      <c r="B559" s="2" t="str">
        <f t="shared" ca="1" si="47"/>
        <v/>
      </c>
      <c r="C559" s="2" t="str">
        <f ca="1">IF(E558="continue",SUM(B$8:B559),"")</f>
        <v/>
      </c>
      <c r="D559" s="1" t="str">
        <f t="shared" ca="1" si="48"/>
        <v/>
      </c>
      <c r="E559" s="13" t="str">
        <f t="shared" ca="1" si="49"/>
        <v>No ruin</v>
      </c>
      <c r="F559">
        <f t="shared" ca="1" si="42"/>
        <v>0</v>
      </c>
    </row>
    <row r="560" spans="1:6">
      <c r="A560" s="3" t="str">
        <f t="shared" ca="1" si="46"/>
        <v/>
      </c>
      <c r="B560" s="2" t="str">
        <f t="shared" ca="1" si="47"/>
        <v/>
      </c>
      <c r="C560" s="2" t="str">
        <f ca="1">IF(E559="continue",SUM(B$8:B560),"")</f>
        <v/>
      </c>
      <c r="D560" s="1" t="str">
        <f t="shared" ca="1" si="48"/>
        <v/>
      </c>
      <c r="E560" s="13" t="str">
        <f t="shared" ca="1" si="49"/>
        <v>No ruin</v>
      </c>
      <c r="F560">
        <f t="shared" ca="1" si="42"/>
        <v>0</v>
      </c>
    </row>
    <row r="561" spans="1:6">
      <c r="A561" s="3" t="str">
        <f t="shared" ca="1" si="46"/>
        <v/>
      </c>
      <c r="B561" s="2" t="str">
        <f t="shared" ca="1" si="47"/>
        <v/>
      </c>
      <c r="C561" s="2" t="str">
        <f ca="1">IF(E560="continue",SUM(B$8:B561),"")</f>
        <v/>
      </c>
      <c r="D561" s="1" t="str">
        <f t="shared" ca="1" si="48"/>
        <v/>
      </c>
      <c r="E561" s="13" t="str">
        <f t="shared" ca="1" si="49"/>
        <v>No ruin</v>
      </c>
      <c r="F561">
        <f t="shared" ca="1" si="42"/>
        <v>0</v>
      </c>
    </row>
    <row r="562" spans="1:6">
      <c r="A562" s="3" t="str">
        <f t="shared" ca="1" si="46"/>
        <v/>
      </c>
      <c r="B562" s="2" t="str">
        <f t="shared" ca="1" si="47"/>
        <v/>
      </c>
      <c r="C562" s="2" t="str">
        <f ca="1">IF(E561="continue",SUM(B$8:B562),"")</f>
        <v/>
      </c>
      <c r="D562" s="1" t="str">
        <f t="shared" ca="1" si="48"/>
        <v/>
      </c>
      <c r="E562" s="13" t="str">
        <f t="shared" ca="1" si="49"/>
        <v>No ruin</v>
      </c>
      <c r="F562">
        <f t="shared" ca="1" si="42"/>
        <v>0</v>
      </c>
    </row>
    <row r="563" spans="1:6">
      <c r="A563" s="3" t="str">
        <f t="shared" ca="1" si="46"/>
        <v/>
      </c>
      <c r="B563" s="2" t="str">
        <f t="shared" ca="1" si="47"/>
        <v/>
      </c>
      <c r="C563" s="2" t="str">
        <f ca="1">IF(E562="continue",SUM(B$8:B563),"")</f>
        <v/>
      </c>
      <c r="D563" s="1" t="str">
        <f t="shared" ca="1" si="48"/>
        <v/>
      </c>
      <c r="E563" s="13" t="str">
        <f t="shared" ca="1" si="49"/>
        <v>No ruin</v>
      </c>
      <c r="F563">
        <f t="shared" ca="1" si="42"/>
        <v>0</v>
      </c>
    </row>
    <row r="564" spans="1:6">
      <c r="A564" s="3" t="str">
        <f t="shared" ca="1" si="46"/>
        <v/>
      </c>
      <c r="B564" s="2" t="str">
        <f t="shared" ca="1" si="47"/>
        <v/>
      </c>
      <c r="C564" s="2" t="str">
        <f ca="1">IF(E563="continue",SUM(B$8:B564),"")</f>
        <v/>
      </c>
      <c r="D564" s="1" t="str">
        <f t="shared" ca="1" si="48"/>
        <v/>
      </c>
      <c r="E564" s="13" t="str">
        <f t="shared" ca="1" si="49"/>
        <v>No ruin</v>
      </c>
      <c r="F564">
        <f t="shared" ca="1" si="42"/>
        <v>0</v>
      </c>
    </row>
    <row r="565" spans="1:6">
      <c r="A565" s="3" t="str">
        <f t="shared" ca="1" si="46"/>
        <v/>
      </c>
      <c r="B565" s="2" t="str">
        <f t="shared" ca="1" si="47"/>
        <v/>
      </c>
      <c r="C565" s="2" t="str">
        <f ca="1">IF(E564="continue",SUM(B$8:B565),"")</f>
        <v/>
      </c>
      <c r="D565" s="1" t="str">
        <f t="shared" ca="1" si="48"/>
        <v/>
      </c>
      <c r="E565" s="13" t="str">
        <f t="shared" ca="1" si="49"/>
        <v>No ruin</v>
      </c>
      <c r="F565">
        <f t="shared" ca="1" si="42"/>
        <v>0</v>
      </c>
    </row>
    <row r="566" spans="1:6">
      <c r="A566" s="3" t="str">
        <f t="shared" ca="1" si="46"/>
        <v/>
      </c>
      <c r="B566" s="2" t="str">
        <f t="shared" ca="1" si="47"/>
        <v/>
      </c>
      <c r="C566" s="2" t="str">
        <f ca="1">IF(E565="continue",SUM(B$8:B566),"")</f>
        <v/>
      </c>
      <c r="D566" s="1" t="str">
        <f t="shared" ca="1" si="48"/>
        <v/>
      </c>
      <c r="E566" s="13" t="str">
        <f t="shared" ca="1" si="49"/>
        <v>No ruin</v>
      </c>
      <c r="F566">
        <f t="shared" ca="1" si="42"/>
        <v>0</v>
      </c>
    </row>
    <row r="567" spans="1:6">
      <c r="A567" s="3" t="str">
        <f t="shared" ca="1" si="46"/>
        <v/>
      </c>
      <c r="B567" s="2" t="str">
        <f t="shared" ca="1" si="47"/>
        <v/>
      </c>
      <c r="C567" s="2" t="str">
        <f ca="1">IF(E566="continue",SUM(B$8:B567),"")</f>
        <v/>
      </c>
      <c r="D567" s="1" t="str">
        <f t="shared" ca="1" si="48"/>
        <v/>
      </c>
      <c r="E567" s="13" t="str">
        <f t="shared" ca="1" si="49"/>
        <v>No ruin</v>
      </c>
      <c r="F567">
        <f t="shared" ca="1" si="42"/>
        <v>0</v>
      </c>
    </row>
    <row r="568" spans="1:6">
      <c r="A568" s="3" t="str">
        <f t="shared" ca="1" si="46"/>
        <v/>
      </c>
      <c r="B568" s="2" t="str">
        <f t="shared" ca="1" si="47"/>
        <v/>
      </c>
      <c r="C568" s="2" t="str">
        <f ca="1">IF(E567="continue",SUM(B$8:B568),"")</f>
        <v/>
      </c>
      <c r="D568" s="1" t="str">
        <f t="shared" ca="1" si="48"/>
        <v/>
      </c>
      <c r="E568" s="13" t="str">
        <f t="shared" ca="1" si="49"/>
        <v>No ruin</v>
      </c>
      <c r="F568">
        <f t="shared" ca="1" si="42"/>
        <v>0</v>
      </c>
    </row>
    <row r="569" spans="1:6">
      <c r="A569" s="3" t="str">
        <f t="shared" ca="1" si="46"/>
        <v/>
      </c>
      <c r="B569" s="2" t="str">
        <f t="shared" ca="1" si="47"/>
        <v/>
      </c>
      <c r="C569" s="2" t="str">
        <f ca="1">IF(E568="continue",SUM(B$8:B569),"")</f>
        <v/>
      </c>
      <c r="D569" s="1" t="str">
        <f t="shared" ca="1" si="48"/>
        <v/>
      </c>
      <c r="E569" s="13" t="str">
        <f t="shared" ca="1" si="49"/>
        <v>No ruin</v>
      </c>
      <c r="F569">
        <f t="shared" ca="1" si="42"/>
        <v>0</v>
      </c>
    </row>
    <row r="570" spans="1:6">
      <c r="A570" s="3" t="str">
        <f t="shared" ca="1" si="46"/>
        <v/>
      </c>
      <c r="B570" s="2" t="str">
        <f t="shared" ca="1" si="47"/>
        <v/>
      </c>
      <c r="C570" s="2" t="str">
        <f ca="1">IF(E569="continue",SUM(B$8:B570),"")</f>
        <v/>
      </c>
      <c r="D570" s="1" t="str">
        <f t="shared" ca="1" si="48"/>
        <v/>
      </c>
      <c r="E570" s="13" t="str">
        <f t="shared" ca="1" si="49"/>
        <v>No ruin</v>
      </c>
      <c r="F570">
        <f t="shared" ca="1" si="42"/>
        <v>0</v>
      </c>
    </row>
    <row r="571" spans="1:6">
      <c r="A571" s="3" t="str">
        <f t="shared" ca="1" si="46"/>
        <v/>
      </c>
      <c r="B571" s="2" t="str">
        <f t="shared" ca="1" si="47"/>
        <v/>
      </c>
      <c r="C571" s="2" t="str">
        <f ca="1">IF(E570="continue",SUM(B$8:B571),"")</f>
        <v/>
      </c>
      <c r="D571" s="1" t="str">
        <f t="shared" ca="1" si="48"/>
        <v/>
      </c>
      <c r="E571" s="13" t="str">
        <f t="shared" ca="1" si="49"/>
        <v>No ruin</v>
      </c>
      <c r="F571">
        <f t="shared" ca="1" si="42"/>
        <v>0</v>
      </c>
    </row>
    <row r="572" spans="1:6">
      <c r="A572" s="3" t="str">
        <f t="shared" ca="1" si="46"/>
        <v/>
      </c>
      <c r="B572" s="2" t="str">
        <f t="shared" ca="1" si="47"/>
        <v/>
      </c>
      <c r="C572" s="2" t="str">
        <f ca="1">IF(E571="continue",SUM(B$8:B572),"")</f>
        <v/>
      </c>
      <c r="D572" s="1" t="str">
        <f t="shared" ca="1" si="48"/>
        <v/>
      </c>
      <c r="E572" s="13" t="str">
        <f t="shared" ca="1" si="49"/>
        <v>No ruin</v>
      </c>
      <c r="F572">
        <f t="shared" ca="1" si="42"/>
        <v>0</v>
      </c>
    </row>
    <row r="573" spans="1:6">
      <c r="A573" s="3" t="str">
        <f t="shared" ca="1" si="46"/>
        <v/>
      </c>
      <c r="B573" s="2" t="str">
        <f t="shared" ca="1" si="47"/>
        <v/>
      </c>
      <c r="C573" s="2" t="str">
        <f ca="1">IF(E572="continue",SUM(B$8:B573),"")</f>
        <v/>
      </c>
      <c r="D573" s="1" t="str">
        <f t="shared" ca="1" si="48"/>
        <v/>
      </c>
      <c r="E573" s="13" t="str">
        <f t="shared" ca="1" si="49"/>
        <v>No ruin</v>
      </c>
      <c r="F573">
        <f t="shared" ca="1" si="42"/>
        <v>0</v>
      </c>
    </row>
    <row r="574" spans="1:6">
      <c r="A574" s="3" t="str">
        <f t="shared" ca="1" si="46"/>
        <v/>
      </c>
      <c r="B574" s="2" t="str">
        <f t="shared" ca="1" si="47"/>
        <v/>
      </c>
      <c r="C574" s="2" t="str">
        <f ca="1">IF(E573="continue",SUM(B$8:B574),"")</f>
        <v/>
      </c>
      <c r="D574" s="1" t="str">
        <f t="shared" ca="1" si="48"/>
        <v/>
      </c>
      <c r="E574" s="13" t="str">
        <f t="shared" ca="1" si="49"/>
        <v>No ruin</v>
      </c>
      <c r="F574">
        <f t="shared" ca="1" si="42"/>
        <v>0</v>
      </c>
    </row>
    <row r="575" spans="1:6">
      <c r="A575" s="3" t="str">
        <f t="shared" ca="1" si="46"/>
        <v/>
      </c>
      <c r="B575" s="2" t="str">
        <f t="shared" ca="1" si="47"/>
        <v/>
      </c>
      <c r="C575" s="2" t="str">
        <f ca="1">IF(E574="continue",SUM(B$8:B575),"")</f>
        <v/>
      </c>
      <c r="D575" s="1" t="str">
        <f t="shared" ca="1" si="48"/>
        <v/>
      </c>
      <c r="E575" s="13" t="str">
        <f t="shared" ca="1" si="49"/>
        <v>No ruin</v>
      </c>
      <c r="F575">
        <f t="shared" ca="1" si="42"/>
        <v>0</v>
      </c>
    </row>
    <row r="576" spans="1:6">
      <c r="A576" s="3" t="str">
        <f t="shared" ca="1" si="46"/>
        <v/>
      </c>
      <c r="B576" s="2" t="str">
        <f t="shared" ca="1" si="47"/>
        <v/>
      </c>
      <c r="C576" s="2" t="str">
        <f ca="1">IF(E575="continue",SUM(B$8:B576),"")</f>
        <v/>
      </c>
      <c r="D576" s="1" t="str">
        <f t="shared" ca="1" si="48"/>
        <v/>
      </c>
      <c r="E576" s="13" t="str">
        <f t="shared" ca="1" si="49"/>
        <v>No ruin</v>
      </c>
      <c r="F576">
        <f t="shared" ca="1" si="42"/>
        <v>0</v>
      </c>
    </row>
    <row r="577" spans="1:6">
      <c r="A577" s="3" t="str">
        <f t="shared" ca="1" si="46"/>
        <v/>
      </c>
      <c r="B577" s="2" t="str">
        <f t="shared" ca="1" si="47"/>
        <v/>
      </c>
      <c r="C577" s="2" t="str">
        <f ca="1">IF(E576="continue",SUM(B$8:B577),"")</f>
        <v/>
      </c>
      <c r="D577" s="1" t="str">
        <f t="shared" ca="1" si="48"/>
        <v/>
      </c>
      <c r="E577" s="13" t="str">
        <f t="shared" ca="1" si="49"/>
        <v>No ruin</v>
      </c>
      <c r="F577">
        <f t="shared" ca="1" si="42"/>
        <v>0</v>
      </c>
    </row>
    <row r="578" spans="1:6">
      <c r="A578" s="3" t="str">
        <f t="shared" ca="1" si="46"/>
        <v/>
      </c>
      <c r="B578" s="2" t="str">
        <f t="shared" ca="1" si="47"/>
        <v/>
      </c>
      <c r="C578" s="2" t="str">
        <f ca="1">IF(E577="continue",SUM(B$8:B578),"")</f>
        <v/>
      </c>
      <c r="D578" s="1" t="str">
        <f t="shared" ca="1" si="48"/>
        <v/>
      </c>
      <c r="E578" s="13" t="str">
        <f t="shared" ca="1" si="49"/>
        <v>No ruin</v>
      </c>
      <c r="F578">
        <f t="shared" ca="1" si="42"/>
        <v>0</v>
      </c>
    </row>
    <row r="579" spans="1:6">
      <c r="A579" s="3" t="str">
        <f t="shared" ca="1" si="46"/>
        <v/>
      </c>
      <c r="B579" s="2" t="str">
        <f t="shared" ca="1" si="47"/>
        <v/>
      </c>
      <c r="C579" s="2" t="str">
        <f ca="1">IF(E578="continue",SUM(B$8:B579),"")</f>
        <v/>
      </c>
      <c r="D579" s="1" t="str">
        <f t="shared" ca="1" si="48"/>
        <v/>
      </c>
      <c r="E579" s="13" t="str">
        <f t="shared" ca="1" si="49"/>
        <v>No ruin</v>
      </c>
      <c r="F579">
        <f t="shared" ca="1" si="42"/>
        <v>0</v>
      </c>
    </row>
    <row r="580" spans="1:6">
      <c r="A580" s="3" t="str">
        <f t="shared" ca="1" si="46"/>
        <v/>
      </c>
      <c r="B580" s="2" t="str">
        <f t="shared" ca="1" si="47"/>
        <v/>
      </c>
      <c r="C580" s="2" t="str">
        <f ca="1">IF(E579="continue",SUM(B$8:B580),"")</f>
        <v/>
      </c>
      <c r="D580" s="1" t="str">
        <f t="shared" ca="1" si="48"/>
        <v/>
      </c>
      <c r="E580" s="13" t="str">
        <f t="shared" ca="1" si="49"/>
        <v>No ruin</v>
      </c>
      <c r="F580">
        <f t="shared" ca="1" si="42"/>
        <v>0</v>
      </c>
    </row>
    <row r="581" spans="1:6">
      <c r="A581" s="3" t="str">
        <f t="shared" ca="1" si="46"/>
        <v/>
      </c>
      <c r="B581" s="2" t="str">
        <f t="shared" ca="1" si="47"/>
        <v/>
      </c>
      <c r="C581" s="2" t="str">
        <f ca="1">IF(E580="continue",SUM(B$8:B581),"")</f>
        <v/>
      </c>
      <c r="D581" s="1" t="str">
        <f t="shared" ca="1" si="48"/>
        <v/>
      </c>
      <c r="E581" s="13" t="str">
        <f t="shared" ca="1" si="49"/>
        <v>No ruin</v>
      </c>
      <c r="F581">
        <f t="shared" ca="1" si="42"/>
        <v>0</v>
      </c>
    </row>
    <row r="582" spans="1:6">
      <c r="A582" s="3" t="str">
        <f t="shared" ca="1" si="46"/>
        <v/>
      </c>
      <c r="B582" s="2" t="str">
        <f t="shared" ca="1" si="47"/>
        <v/>
      </c>
      <c r="C582" s="2" t="str">
        <f ca="1">IF(E581="continue",SUM(B$8:B582),"")</f>
        <v/>
      </c>
      <c r="D582" s="1" t="str">
        <f t="shared" ca="1" si="48"/>
        <v/>
      </c>
      <c r="E582" s="13" t="str">
        <f t="shared" ca="1" si="49"/>
        <v>No ruin</v>
      </c>
      <c r="F582">
        <f t="shared" ca="1" si="42"/>
        <v>0</v>
      </c>
    </row>
    <row r="583" spans="1:6">
      <c r="A583" s="3" t="str">
        <f t="shared" ca="1" si="46"/>
        <v/>
      </c>
      <c r="B583" s="2" t="str">
        <f t="shared" ca="1" si="47"/>
        <v/>
      </c>
      <c r="C583" s="2" t="str">
        <f ca="1">IF(E582="continue",SUM(B$8:B583),"")</f>
        <v/>
      </c>
      <c r="D583" s="1" t="str">
        <f t="shared" ca="1" si="48"/>
        <v/>
      </c>
      <c r="E583" s="13" t="str">
        <f t="shared" ca="1" si="49"/>
        <v>No ruin</v>
      </c>
      <c r="F583">
        <f t="shared" ca="1" si="42"/>
        <v>0</v>
      </c>
    </row>
    <row r="584" spans="1:6">
      <c r="A584" s="3" t="str">
        <f t="shared" ca="1" si="46"/>
        <v/>
      </c>
      <c r="B584" s="2" t="str">
        <f t="shared" ca="1" si="47"/>
        <v/>
      </c>
      <c r="C584" s="2" t="str">
        <f ca="1">IF(E583="continue",SUM(B$8:B584),"")</f>
        <v/>
      </c>
      <c r="D584" s="1" t="str">
        <f t="shared" ca="1" si="48"/>
        <v/>
      </c>
      <c r="E584" s="13" t="str">
        <f t="shared" ca="1" si="49"/>
        <v>No ruin</v>
      </c>
      <c r="F584">
        <f t="shared" ca="1" si="42"/>
        <v>0</v>
      </c>
    </row>
    <row r="585" spans="1:6">
      <c r="A585" s="3" t="str">
        <f t="shared" ca="1" si="46"/>
        <v/>
      </c>
      <c r="B585" s="2" t="str">
        <f t="shared" ca="1" si="47"/>
        <v/>
      </c>
      <c r="C585" s="2" t="str">
        <f ca="1">IF(E584="continue",SUM(B$8:B585),"")</f>
        <v/>
      </c>
      <c r="D585" s="1" t="str">
        <f t="shared" ca="1" si="48"/>
        <v/>
      </c>
      <c r="E585" s="13" t="str">
        <f t="shared" ca="1" si="49"/>
        <v>No ruin</v>
      </c>
      <c r="F585">
        <f t="shared" ca="1" si="42"/>
        <v>0</v>
      </c>
    </row>
    <row r="586" spans="1:6">
      <c r="A586" s="3" t="str">
        <f t="shared" ca="1" si="46"/>
        <v/>
      </c>
      <c r="B586" s="2" t="str">
        <f t="shared" ca="1" si="47"/>
        <v/>
      </c>
      <c r="C586" s="2" t="str">
        <f ca="1">IF(E585="continue",SUM(B$8:B586),"")</f>
        <v/>
      </c>
      <c r="D586" s="1" t="str">
        <f t="shared" ca="1" si="48"/>
        <v/>
      </c>
      <c r="E586" s="13" t="str">
        <f t="shared" ca="1" si="49"/>
        <v>No ruin</v>
      </c>
      <c r="F586">
        <f t="shared" ref="F586:F649" ca="1" si="50">IF(E586="RUIN",1,0)</f>
        <v>0</v>
      </c>
    </row>
    <row r="587" spans="1:6">
      <c r="A587" s="3" t="str">
        <f t="shared" ca="1" si="46"/>
        <v/>
      </c>
      <c r="B587" s="2" t="str">
        <f t="shared" ca="1" si="47"/>
        <v/>
      </c>
      <c r="C587" s="2" t="str">
        <f ca="1">IF(E586="continue",SUM(B$8:B587),"")</f>
        <v/>
      </c>
      <c r="D587" s="1" t="str">
        <f t="shared" ca="1" si="48"/>
        <v/>
      </c>
      <c r="E587" s="13" t="str">
        <f t="shared" ca="1" si="49"/>
        <v>No ruin</v>
      </c>
      <c r="F587">
        <f t="shared" ca="1" si="50"/>
        <v>0</v>
      </c>
    </row>
    <row r="588" spans="1:6">
      <c r="A588" s="3" t="str">
        <f t="shared" ca="1" si="46"/>
        <v/>
      </c>
      <c r="B588" s="2" t="str">
        <f t="shared" ca="1" si="47"/>
        <v/>
      </c>
      <c r="C588" s="2" t="str">
        <f ca="1">IF(E587="continue",SUM(B$8:B588),"")</f>
        <v/>
      </c>
      <c r="D588" s="1" t="str">
        <f t="shared" ca="1" si="48"/>
        <v/>
      </c>
      <c r="E588" s="13" t="str">
        <f t="shared" ca="1" si="49"/>
        <v>No ruin</v>
      </c>
      <c r="F588">
        <f t="shared" ca="1" si="50"/>
        <v>0</v>
      </c>
    </row>
    <row r="589" spans="1:6">
      <c r="A589" s="3" t="str">
        <f t="shared" ca="1" si="46"/>
        <v/>
      </c>
      <c r="B589" s="2" t="str">
        <f t="shared" ca="1" si="47"/>
        <v/>
      </c>
      <c r="C589" s="2" t="str">
        <f ca="1">IF(E588="continue",SUM(B$8:B589),"")</f>
        <v/>
      </c>
      <c r="D589" s="1" t="str">
        <f t="shared" ca="1" si="48"/>
        <v/>
      </c>
      <c r="E589" s="13" t="str">
        <f t="shared" ca="1" si="49"/>
        <v>No ruin</v>
      </c>
      <c r="F589">
        <f t="shared" ca="1" si="50"/>
        <v>0</v>
      </c>
    </row>
    <row r="590" spans="1:6">
      <c r="A590" s="3" t="str">
        <f t="shared" ca="1" si="46"/>
        <v/>
      </c>
      <c r="B590" s="2" t="str">
        <f t="shared" ca="1" si="47"/>
        <v/>
      </c>
      <c r="C590" s="2" t="str">
        <f ca="1">IF(E589="continue",SUM(B$8:B590),"")</f>
        <v/>
      </c>
      <c r="D590" s="1" t="str">
        <f t="shared" ca="1" si="48"/>
        <v/>
      </c>
      <c r="E590" s="13" t="str">
        <f t="shared" ca="1" si="49"/>
        <v>No ruin</v>
      </c>
      <c r="F590">
        <f t="shared" ca="1" si="50"/>
        <v>0</v>
      </c>
    </row>
    <row r="591" spans="1:6">
      <c r="A591" s="3" t="str">
        <f t="shared" ca="1" si="46"/>
        <v/>
      </c>
      <c r="B591" s="2" t="str">
        <f t="shared" ca="1" si="47"/>
        <v/>
      </c>
      <c r="C591" s="2" t="str">
        <f ca="1">IF(E590="continue",SUM(B$8:B591),"")</f>
        <v/>
      </c>
      <c r="D591" s="1" t="str">
        <f t="shared" ca="1" si="48"/>
        <v/>
      </c>
      <c r="E591" s="13" t="str">
        <f t="shared" ca="1" si="49"/>
        <v>No ruin</v>
      </c>
      <c r="F591">
        <f t="shared" ca="1" si="50"/>
        <v>0</v>
      </c>
    </row>
    <row r="592" spans="1:6">
      <c r="A592" s="3" t="str">
        <f t="shared" ca="1" si="46"/>
        <v/>
      </c>
      <c r="B592" s="2" t="str">
        <f t="shared" ca="1" si="47"/>
        <v/>
      </c>
      <c r="C592" s="2" t="str">
        <f ca="1">IF(E591="continue",SUM(B$8:B592),"")</f>
        <v/>
      </c>
      <c r="D592" s="1" t="str">
        <f t="shared" ca="1" si="48"/>
        <v/>
      </c>
      <c r="E592" s="13" t="str">
        <f t="shared" ca="1" si="49"/>
        <v>No ruin</v>
      </c>
      <c r="F592">
        <f t="shared" ca="1" si="50"/>
        <v>0</v>
      </c>
    </row>
    <row r="593" spans="1:6">
      <c r="A593" s="3" t="str">
        <f t="shared" ca="1" si="46"/>
        <v/>
      </c>
      <c r="B593" s="2" t="str">
        <f t="shared" ca="1" si="47"/>
        <v/>
      </c>
      <c r="C593" s="2" t="str">
        <f ca="1">IF(E592="continue",SUM(B$8:B593),"")</f>
        <v/>
      </c>
      <c r="D593" s="1" t="str">
        <f t="shared" ca="1" si="48"/>
        <v/>
      </c>
      <c r="E593" s="13" t="str">
        <f t="shared" ca="1" si="49"/>
        <v>No ruin</v>
      </c>
      <c r="F593">
        <f t="shared" ca="1" si="50"/>
        <v>0</v>
      </c>
    </row>
    <row r="594" spans="1:6">
      <c r="A594" s="3" t="str">
        <f t="shared" ca="1" si="46"/>
        <v/>
      </c>
      <c r="B594" s="2" t="str">
        <f t="shared" ca="1" si="47"/>
        <v/>
      </c>
      <c r="C594" s="2" t="str">
        <f ca="1">IF(E593="continue",SUM(B$8:B594),"")</f>
        <v/>
      </c>
      <c r="D594" s="1" t="str">
        <f t="shared" ca="1" si="48"/>
        <v/>
      </c>
      <c r="E594" s="13" t="str">
        <f t="shared" ca="1" si="49"/>
        <v>No ruin</v>
      </c>
      <c r="F594">
        <f t="shared" ca="1" si="50"/>
        <v>0</v>
      </c>
    </row>
    <row r="595" spans="1:6">
      <c r="A595" s="3" t="str">
        <f t="shared" ca="1" si="46"/>
        <v/>
      </c>
      <c r="B595" s="2" t="str">
        <f t="shared" ca="1" si="47"/>
        <v/>
      </c>
      <c r="C595" s="2" t="str">
        <f ca="1">IF(E594="continue",SUM(B$8:B595),"")</f>
        <v/>
      </c>
      <c r="D595" s="1" t="str">
        <f t="shared" ca="1" si="48"/>
        <v/>
      </c>
      <c r="E595" s="13" t="str">
        <f t="shared" ca="1" si="49"/>
        <v>No ruin</v>
      </c>
      <c r="F595">
        <f t="shared" ca="1" si="50"/>
        <v>0</v>
      </c>
    </row>
    <row r="596" spans="1:6">
      <c r="A596" s="3" t="str">
        <f t="shared" ca="1" si="46"/>
        <v/>
      </c>
      <c r="B596" s="2" t="str">
        <f t="shared" ca="1" si="47"/>
        <v/>
      </c>
      <c r="C596" s="2" t="str">
        <f ca="1">IF(E595="continue",SUM(B$8:B596),"")</f>
        <v/>
      </c>
      <c r="D596" s="1" t="str">
        <f t="shared" ca="1" si="48"/>
        <v/>
      </c>
      <c r="E596" s="13" t="str">
        <f t="shared" ca="1" si="49"/>
        <v>No ruin</v>
      </c>
      <c r="F596">
        <f t="shared" ca="1" si="50"/>
        <v>0</v>
      </c>
    </row>
    <row r="597" spans="1:6">
      <c r="A597" s="3" t="str">
        <f t="shared" ca="1" si="46"/>
        <v/>
      </c>
      <c r="B597" s="2" t="str">
        <f t="shared" ca="1" si="47"/>
        <v/>
      </c>
      <c r="C597" s="2" t="str">
        <f ca="1">IF(E596="continue",SUM(B$8:B597),"")</f>
        <v/>
      </c>
      <c r="D597" s="1" t="str">
        <f t="shared" ca="1" si="48"/>
        <v/>
      </c>
      <c r="E597" s="13" t="str">
        <f t="shared" ca="1" si="49"/>
        <v>No ruin</v>
      </c>
      <c r="F597">
        <f t="shared" ca="1" si="50"/>
        <v>0</v>
      </c>
    </row>
    <row r="598" spans="1:6">
      <c r="A598" s="3" t="str">
        <f t="shared" ca="1" si="46"/>
        <v/>
      </c>
      <c r="B598" s="2" t="str">
        <f t="shared" ca="1" si="47"/>
        <v/>
      </c>
      <c r="C598" s="2" t="str">
        <f ca="1">IF(E597="continue",SUM(B$8:B598),"")</f>
        <v/>
      </c>
      <c r="D598" s="1" t="str">
        <f t="shared" ca="1" si="48"/>
        <v/>
      </c>
      <c r="E598" s="13" t="str">
        <f t="shared" ca="1" si="49"/>
        <v>No ruin</v>
      </c>
      <c r="F598">
        <f t="shared" ca="1" si="50"/>
        <v>0</v>
      </c>
    </row>
    <row r="599" spans="1:6">
      <c r="A599" s="3" t="str">
        <f t="shared" ca="1" si="46"/>
        <v/>
      </c>
      <c r="B599" s="2" t="str">
        <f t="shared" ca="1" si="47"/>
        <v/>
      </c>
      <c r="C599" s="2" t="str">
        <f ca="1">IF(E598="continue",SUM(B$8:B599),"")</f>
        <v/>
      </c>
      <c r="D599" s="1" t="str">
        <f t="shared" ca="1" si="48"/>
        <v/>
      </c>
      <c r="E599" s="13" t="str">
        <f t="shared" ca="1" si="49"/>
        <v>No ruin</v>
      </c>
      <c r="F599">
        <f t="shared" ca="1" si="50"/>
        <v>0</v>
      </c>
    </row>
    <row r="600" spans="1:6">
      <c r="A600" s="3" t="str">
        <f t="shared" ca="1" si="46"/>
        <v/>
      </c>
      <c r="B600" s="2" t="str">
        <f t="shared" ca="1" si="47"/>
        <v/>
      </c>
      <c r="C600" s="2" t="str">
        <f ca="1">IF(E599="continue",SUM(B$8:B600),"")</f>
        <v/>
      </c>
      <c r="D600" s="1" t="str">
        <f t="shared" ca="1" si="48"/>
        <v/>
      </c>
      <c r="E600" s="13" t="str">
        <f t="shared" ca="1" si="49"/>
        <v>No ruin</v>
      </c>
      <c r="F600">
        <f t="shared" ca="1" si="50"/>
        <v>0</v>
      </c>
    </row>
    <row r="601" spans="1:6">
      <c r="A601" s="3" t="str">
        <f t="shared" ca="1" si="46"/>
        <v/>
      </c>
      <c r="B601" s="2" t="str">
        <f t="shared" ca="1" si="47"/>
        <v/>
      </c>
      <c r="C601" s="2" t="str">
        <f ca="1">IF(E600="continue",SUM(B$8:B601),"")</f>
        <v/>
      </c>
      <c r="D601" s="1" t="str">
        <f t="shared" ca="1" si="48"/>
        <v/>
      </c>
      <c r="E601" s="13" t="str">
        <f t="shared" ca="1" si="49"/>
        <v>No ruin</v>
      </c>
      <c r="F601">
        <f t="shared" ca="1" si="50"/>
        <v>0</v>
      </c>
    </row>
    <row r="602" spans="1:6">
      <c r="A602" s="3" t="str">
        <f t="shared" ca="1" si="46"/>
        <v/>
      </c>
      <c r="B602" s="2" t="str">
        <f t="shared" ca="1" si="47"/>
        <v/>
      </c>
      <c r="C602" s="2" t="str">
        <f ca="1">IF(E601="continue",SUM(B$8:B602),"")</f>
        <v/>
      </c>
      <c r="D602" s="1" t="str">
        <f t="shared" ca="1" si="48"/>
        <v/>
      </c>
      <c r="E602" s="13" t="str">
        <f t="shared" ca="1" si="49"/>
        <v>No ruin</v>
      </c>
      <c r="F602">
        <f t="shared" ca="1" si="50"/>
        <v>0</v>
      </c>
    </row>
    <row r="603" spans="1:6">
      <c r="A603" s="3" t="str">
        <f t="shared" ca="1" si="46"/>
        <v/>
      </c>
      <c r="B603" s="2" t="str">
        <f t="shared" ca="1" si="47"/>
        <v/>
      </c>
      <c r="C603" s="2" t="str">
        <f ca="1">IF(E602="continue",SUM(B$8:B603),"")</f>
        <v/>
      </c>
      <c r="D603" s="1" t="str">
        <f t="shared" ca="1" si="48"/>
        <v/>
      </c>
      <c r="E603" s="13" t="str">
        <f t="shared" ca="1" si="49"/>
        <v>No ruin</v>
      </c>
      <c r="F603">
        <f t="shared" ca="1" si="50"/>
        <v>0</v>
      </c>
    </row>
    <row r="604" spans="1:6">
      <c r="A604" s="3" t="str">
        <f t="shared" ref="A604:A667" ca="1" si="51">IF(E603="continue",-LN(1-RAND())*O$3+A603,"")</f>
        <v/>
      </c>
      <c r="B604" s="2" t="str">
        <f t="shared" ref="B604:B667" ca="1" si="52">IF(E603="continue",-LN(1-RAND())*M$3,"")</f>
        <v/>
      </c>
      <c r="C604" s="2" t="str">
        <f ca="1">IF(E603="continue",SUM(B$8:B604),"")</f>
        <v/>
      </c>
      <c r="D604" s="1" t="str">
        <f t="shared" ref="D604:D667" ca="1" si="53">IF(E603="continue",(1+J$1)*(1/O$3)*M$3*A604,"")</f>
        <v/>
      </c>
      <c r="E604" s="13" t="str">
        <f t="shared" ref="E604:E667" ca="1" si="54">IF(A604&gt;G$1,"No ruin",IF(AND(A604&lt;=G$1,C604&gt;J$4+D604),"RUIN","continue"))</f>
        <v>No ruin</v>
      </c>
      <c r="F604">
        <f t="shared" ca="1" si="50"/>
        <v>0</v>
      </c>
    </row>
    <row r="605" spans="1:6">
      <c r="A605" s="3" t="str">
        <f t="shared" ca="1" si="51"/>
        <v/>
      </c>
      <c r="B605" s="2" t="str">
        <f t="shared" ca="1" si="52"/>
        <v/>
      </c>
      <c r="C605" s="2" t="str">
        <f ca="1">IF(E604="continue",SUM(B$8:B605),"")</f>
        <v/>
      </c>
      <c r="D605" s="1" t="str">
        <f t="shared" ca="1" si="53"/>
        <v/>
      </c>
      <c r="E605" s="13" t="str">
        <f t="shared" ca="1" si="54"/>
        <v>No ruin</v>
      </c>
      <c r="F605">
        <f t="shared" ca="1" si="50"/>
        <v>0</v>
      </c>
    </row>
    <row r="606" spans="1:6">
      <c r="A606" s="3" t="str">
        <f t="shared" ca="1" si="51"/>
        <v/>
      </c>
      <c r="B606" s="2" t="str">
        <f t="shared" ca="1" si="52"/>
        <v/>
      </c>
      <c r="C606" s="2" t="str">
        <f ca="1">IF(E605="continue",SUM(B$8:B606),"")</f>
        <v/>
      </c>
      <c r="D606" s="1" t="str">
        <f t="shared" ca="1" si="53"/>
        <v/>
      </c>
      <c r="E606" s="13" t="str">
        <f t="shared" ca="1" si="54"/>
        <v>No ruin</v>
      </c>
      <c r="F606">
        <f t="shared" ca="1" si="50"/>
        <v>0</v>
      </c>
    </row>
    <row r="607" spans="1:6">
      <c r="A607" s="3" t="str">
        <f t="shared" ca="1" si="51"/>
        <v/>
      </c>
      <c r="B607" s="2" t="str">
        <f t="shared" ca="1" si="52"/>
        <v/>
      </c>
      <c r="C607" s="2" t="str">
        <f ca="1">IF(E606="continue",SUM(B$8:B607),"")</f>
        <v/>
      </c>
      <c r="D607" s="1" t="str">
        <f t="shared" ca="1" si="53"/>
        <v/>
      </c>
      <c r="E607" s="13" t="str">
        <f t="shared" ca="1" si="54"/>
        <v>No ruin</v>
      </c>
      <c r="F607">
        <f t="shared" ca="1" si="50"/>
        <v>0</v>
      </c>
    </row>
    <row r="608" spans="1:6">
      <c r="A608" s="3" t="str">
        <f t="shared" ca="1" si="51"/>
        <v/>
      </c>
      <c r="B608" s="2" t="str">
        <f t="shared" ca="1" si="52"/>
        <v/>
      </c>
      <c r="C608" s="2" t="str">
        <f ca="1">IF(E607="continue",SUM(B$8:B608),"")</f>
        <v/>
      </c>
      <c r="D608" s="1" t="str">
        <f t="shared" ca="1" si="53"/>
        <v/>
      </c>
      <c r="E608" s="13" t="str">
        <f t="shared" ca="1" si="54"/>
        <v>No ruin</v>
      </c>
      <c r="F608">
        <f t="shared" ca="1" si="50"/>
        <v>0</v>
      </c>
    </row>
    <row r="609" spans="1:6">
      <c r="A609" s="3" t="str">
        <f t="shared" ca="1" si="51"/>
        <v/>
      </c>
      <c r="B609" s="2" t="str">
        <f t="shared" ca="1" si="52"/>
        <v/>
      </c>
      <c r="C609" s="2" t="str">
        <f ca="1">IF(E608="continue",SUM(B$8:B609),"")</f>
        <v/>
      </c>
      <c r="D609" s="1" t="str">
        <f t="shared" ca="1" si="53"/>
        <v/>
      </c>
      <c r="E609" s="13" t="str">
        <f t="shared" ca="1" si="54"/>
        <v>No ruin</v>
      </c>
      <c r="F609">
        <f t="shared" ca="1" si="50"/>
        <v>0</v>
      </c>
    </row>
    <row r="610" spans="1:6">
      <c r="A610" s="3" t="str">
        <f t="shared" ca="1" si="51"/>
        <v/>
      </c>
      <c r="B610" s="2" t="str">
        <f t="shared" ca="1" si="52"/>
        <v/>
      </c>
      <c r="C610" s="2" t="str">
        <f ca="1">IF(E609="continue",SUM(B$8:B610),"")</f>
        <v/>
      </c>
      <c r="D610" s="1" t="str">
        <f t="shared" ca="1" si="53"/>
        <v/>
      </c>
      <c r="E610" s="13" t="str">
        <f t="shared" ca="1" si="54"/>
        <v>No ruin</v>
      </c>
      <c r="F610">
        <f t="shared" ca="1" si="50"/>
        <v>0</v>
      </c>
    </row>
    <row r="611" spans="1:6">
      <c r="A611" s="3" t="str">
        <f t="shared" ca="1" si="51"/>
        <v/>
      </c>
      <c r="B611" s="2" t="str">
        <f t="shared" ca="1" si="52"/>
        <v/>
      </c>
      <c r="C611" s="2" t="str">
        <f ca="1">IF(E610="continue",SUM(B$8:B611),"")</f>
        <v/>
      </c>
      <c r="D611" s="1" t="str">
        <f t="shared" ca="1" si="53"/>
        <v/>
      </c>
      <c r="E611" s="13" t="str">
        <f t="shared" ca="1" si="54"/>
        <v>No ruin</v>
      </c>
      <c r="F611">
        <f t="shared" ca="1" si="50"/>
        <v>0</v>
      </c>
    </row>
    <row r="612" spans="1:6">
      <c r="A612" s="3" t="str">
        <f t="shared" ca="1" si="51"/>
        <v/>
      </c>
      <c r="B612" s="2" t="str">
        <f t="shared" ca="1" si="52"/>
        <v/>
      </c>
      <c r="C612" s="2" t="str">
        <f ca="1">IF(E611="continue",SUM(B$8:B612),"")</f>
        <v/>
      </c>
      <c r="D612" s="1" t="str">
        <f t="shared" ca="1" si="53"/>
        <v/>
      </c>
      <c r="E612" s="13" t="str">
        <f t="shared" ca="1" si="54"/>
        <v>No ruin</v>
      </c>
      <c r="F612">
        <f t="shared" ca="1" si="50"/>
        <v>0</v>
      </c>
    </row>
    <row r="613" spans="1:6">
      <c r="A613" s="3" t="str">
        <f t="shared" ca="1" si="51"/>
        <v/>
      </c>
      <c r="B613" s="2" t="str">
        <f t="shared" ca="1" si="52"/>
        <v/>
      </c>
      <c r="C613" s="2" t="str">
        <f ca="1">IF(E612="continue",SUM(B$8:B613),"")</f>
        <v/>
      </c>
      <c r="D613" s="1" t="str">
        <f t="shared" ca="1" si="53"/>
        <v/>
      </c>
      <c r="E613" s="13" t="str">
        <f t="shared" ca="1" si="54"/>
        <v>No ruin</v>
      </c>
      <c r="F613">
        <f t="shared" ca="1" si="50"/>
        <v>0</v>
      </c>
    </row>
    <row r="614" spans="1:6">
      <c r="A614" s="3" t="str">
        <f t="shared" ca="1" si="51"/>
        <v/>
      </c>
      <c r="B614" s="2" t="str">
        <f t="shared" ca="1" si="52"/>
        <v/>
      </c>
      <c r="C614" s="2" t="str">
        <f ca="1">IF(E613="continue",SUM(B$8:B614),"")</f>
        <v/>
      </c>
      <c r="D614" s="1" t="str">
        <f t="shared" ca="1" si="53"/>
        <v/>
      </c>
      <c r="E614" s="13" t="str">
        <f t="shared" ca="1" si="54"/>
        <v>No ruin</v>
      </c>
      <c r="F614">
        <f t="shared" ca="1" si="50"/>
        <v>0</v>
      </c>
    </row>
    <row r="615" spans="1:6">
      <c r="A615" s="3" t="str">
        <f t="shared" ca="1" si="51"/>
        <v/>
      </c>
      <c r="B615" s="2" t="str">
        <f t="shared" ca="1" si="52"/>
        <v/>
      </c>
      <c r="C615" s="2" t="str">
        <f ca="1">IF(E614="continue",SUM(B$8:B615),"")</f>
        <v/>
      </c>
      <c r="D615" s="1" t="str">
        <f t="shared" ca="1" si="53"/>
        <v/>
      </c>
      <c r="E615" s="13" t="str">
        <f t="shared" ca="1" si="54"/>
        <v>No ruin</v>
      </c>
      <c r="F615">
        <f t="shared" ca="1" si="50"/>
        <v>0</v>
      </c>
    </row>
    <row r="616" spans="1:6">
      <c r="A616" s="3" t="str">
        <f t="shared" ca="1" si="51"/>
        <v/>
      </c>
      <c r="B616" s="2" t="str">
        <f t="shared" ca="1" si="52"/>
        <v/>
      </c>
      <c r="C616" s="2" t="str">
        <f ca="1">IF(E615="continue",SUM(B$8:B616),"")</f>
        <v/>
      </c>
      <c r="D616" s="1" t="str">
        <f t="shared" ca="1" si="53"/>
        <v/>
      </c>
      <c r="E616" s="13" t="str">
        <f t="shared" ca="1" si="54"/>
        <v>No ruin</v>
      </c>
      <c r="F616">
        <f t="shared" ca="1" si="50"/>
        <v>0</v>
      </c>
    </row>
    <row r="617" spans="1:6">
      <c r="A617" s="3" t="str">
        <f t="shared" ca="1" si="51"/>
        <v/>
      </c>
      <c r="B617" s="2" t="str">
        <f t="shared" ca="1" si="52"/>
        <v/>
      </c>
      <c r="C617" s="2" t="str">
        <f ca="1">IF(E616="continue",SUM(B$8:B617),"")</f>
        <v/>
      </c>
      <c r="D617" s="1" t="str">
        <f t="shared" ca="1" si="53"/>
        <v/>
      </c>
      <c r="E617" s="13" t="str">
        <f t="shared" ca="1" si="54"/>
        <v>No ruin</v>
      </c>
      <c r="F617">
        <f t="shared" ca="1" si="50"/>
        <v>0</v>
      </c>
    </row>
    <row r="618" spans="1:6">
      <c r="A618" s="3" t="str">
        <f t="shared" ca="1" si="51"/>
        <v/>
      </c>
      <c r="B618" s="2" t="str">
        <f t="shared" ca="1" si="52"/>
        <v/>
      </c>
      <c r="C618" s="2" t="str">
        <f ca="1">IF(E617="continue",SUM(B$8:B618),"")</f>
        <v/>
      </c>
      <c r="D618" s="1" t="str">
        <f t="shared" ca="1" si="53"/>
        <v/>
      </c>
      <c r="E618" s="13" t="str">
        <f t="shared" ca="1" si="54"/>
        <v>No ruin</v>
      </c>
      <c r="F618">
        <f t="shared" ca="1" si="50"/>
        <v>0</v>
      </c>
    </row>
    <row r="619" spans="1:6">
      <c r="A619" s="3" t="str">
        <f t="shared" ca="1" si="51"/>
        <v/>
      </c>
      <c r="B619" s="2" t="str">
        <f t="shared" ca="1" si="52"/>
        <v/>
      </c>
      <c r="C619" s="2" t="str">
        <f ca="1">IF(E618="continue",SUM(B$8:B619),"")</f>
        <v/>
      </c>
      <c r="D619" s="1" t="str">
        <f t="shared" ca="1" si="53"/>
        <v/>
      </c>
      <c r="E619" s="13" t="str">
        <f t="shared" ca="1" si="54"/>
        <v>No ruin</v>
      </c>
      <c r="F619">
        <f t="shared" ca="1" si="50"/>
        <v>0</v>
      </c>
    </row>
    <row r="620" spans="1:6">
      <c r="A620" s="3" t="str">
        <f t="shared" ca="1" si="51"/>
        <v/>
      </c>
      <c r="B620" s="2" t="str">
        <f t="shared" ca="1" si="52"/>
        <v/>
      </c>
      <c r="C620" s="2" t="str">
        <f ca="1">IF(E619="continue",SUM(B$8:B620),"")</f>
        <v/>
      </c>
      <c r="D620" s="1" t="str">
        <f t="shared" ca="1" si="53"/>
        <v/>
      </c>
      <c r="E620" s="13" t="str">
        <f t="shared" ca="1" si="54"/>
        <v>No ruin</v>
      </c>
      <c r="F620">
        <f t="shared" ca="1" si="50"/>
        <v>0</v>
      </c>
    </row>
    <row r="621" spans="1:6">
      <c r="A621" s="3" t="str">
        <f t="shared" ca="1" si="51"/>
        <v/>
      </c>
      <c r="B621" s="2" t="str">
        <f t="shared" ca="1" si="52"/>
        <v/>
      </c>
      <c r="C621" s="2" t="str">
        <f ca="1">IF(E620="continue",SUM(B$8:B621),"")</f>
        <v/>
      </c>
      <c r="D621" s="1" t="str">
        <f t="shared" ca="1" si="53"/>
        <v/>
      </c>
      <c r="E621" s="13" t="str">
        <f t="shared" ca="1" si="54"/>
        <v>No ruin</v>
      </c>
      <c r="F621">
        <f t="shared" ca="1" si="50"/>
        <v>0</v>
      </c>
    </row>
    <row r="622" spans="1:6">
      <c r="A622" s="3" t="str">
        <f t="shared" ca="1" si="51"/>
        <v/>
      </c>
      <c r="B622" s="2" t="str">
        <f t="shared" ca="1" si="52"/>
        <v/>
      </c>
      <c r="C622" s="2" t="str">
        <f ca="1">IF(E621="continue",SUM(B$8:B622),"")</f>
        <v/>
      </c>
      <c r="D622" s="1" t="str">
        <f t="shared" ca="1" si="53"/>
        <v/>
      </c>
      <c r="E622" s="13" t="str">
        <f t="shared" ca="1" si="54"/>
        <v>No ruin</v>
      </c>
      <c r="F622">
        <f t="shared" ca="1" si="50"/>
        <v>0</v>
      </c>
    </row>
    <row r="623" spans="1:6">
      <c r="A623" s="3" t="str">
        <f t="shared" ca="1" si="51"/>
        <v/>
      </c>
      <c r="B623" s="2" t="str">
        <f t="shared" ca="1" si="52"/>
        <v/>
      </c>
      <c r="C623" s="2" t="str">
        <f ca="1">IF(E622="continue",SUM(B$8:B623),"")</f>
        <v/>
      </c>
      <c r="D623" s="1" t="str">
        <f t="shared" ca="1" si="53"/>
        <v/>
      </c>
      <c r="E623" s="13" t="str">
        <f t="shared" ca="1" si="54"/>
        <v>No ruin</v>
      </c>
      <c r="F623">
        <f t="shared" ca="1" si="50"/>
        <v>0</v>
      </c>
    </row>
    <row r="624" spans="1:6">
      <c r="A624" s="3" t="str">
        <f t="shared" ca="1" si="51"/>
        <v/>
      </c>
      <c r="B624" s="2" t="str">
        <f t="shared" ca="1" si="52"/>
        <v/>
      </c>
      <c r="C624" s="2" t="str">
        <f ca="1">IF(E623="continue",SUM(B$8:B624),"")</f>
        <v/>
      </c>
      <c r="D624" s="1" t="str">
        <f t="shared" ca="1" si="53"/>
        <v/>
      </c>
      <c r="E624" s="13" t="str">
        <f t="shared" ca="1" si="54"/>
        <v>No ruin</v>
      </c>
      <c r="F624">
        <f t="shared" ca="1" si="50"/>
        <v>0</v>
      </c>
    </row>
    <row r="625" spans="1:6">
      <c r="A625" s="3" t="str">
        <f t="shared" ca="1" si="51"/>
        <v/>
      </c>
      <c r="B625" s="2" t="str">
        <f t="shared" ca="1" si="52"/>
        <v/>
      </c>
      <c r="C625" s="2" t="str">
        <f ca="1">IF(E624="continue",SUM(B$8:B625),"")</f>
        <v/>
      </c>
      <c r="D625" s="1" t="str">
        <f t="shared" ca="1" si="53"/>
        <v/>
      </c>
      <c r="E625" s="13" t="str">
        <f t="shared" ca="1" si="54"/>
        <v>No ruin</v>
      </c>
      <c r="F625">
        <f t="shared" ca="1" si="50"/>
        <v>0</v>
      </c>
    </row>
    <row r="626" spans="1:6">
      <c r="A626" s="3" t="str">
        <f t="shared" ca="1" si="51"/>
        <v/>
      </c>
      <c r="B626" s="2" t="str">
        <f t="shared" ca="1" si="52"/>
        <v/>
      </c>
      <c r="C626" s="2" t="str">
        <f ca="1">IF(E625="continue",SUM(B$8:B626),"")</f>
        <v/>
      </c>
      <c r="D626" s="1" t="str">
        <f t="shared" ca="1" si="53"/>
        <v/>
      </c>
      <c r="E626" s="13" t="str">
        <f t="shared" ca="1" si="54"/>
        <v>No ruin</v>
      </c>
      <c r="F626">
        <f t="shared" ca="1" si="50"/>
        <v>0</v>
      </c>
    </row>
    <row r="627" spans="1:6">
      <c r="A627" s="3" t="str">
        <f t="shared" ca="1" si="51"/>
        <v/>
      </c>
      <c r="B627" s="2" t="str">
        <f t="shared" ca="1" si="52"/>
        <v/>
      </c>
      <c r="C627" s="2" t="str">
        <f ca="1">IF(E626="continue",SUM(B$8:B627),"")</f>
        <v/>
      </c>
      <c r="D627" s="1" t="str">
        <f t="shared" ca="1" si="53"/>
        <v/>
      </c>
      <c r="E627" s="13" t="str">
        <f t="shared" ca="1" si="54"/>
        <v>No ruin</v>
      </c>
      <c r="F627">
        <f t="shared" ca="1" si="50"/>
        <v>0</v>
      </c>
    </row>
    <row r="628" spans="1:6">
      <c r="A628" s="3" t="str">
        <f t="shared" ca="1" si="51"/>
        <v/>
      </c>
      <c r="B628" s="2" t="str">
        <f t="shared" ca="1" si="52"/>
        <v/>
      </c>
      <c r="C628" s="2" t="str">
        <f ca="1">IF(E627="continue",SUM(B$8:B628),"")</f>
        <v/>
      </c>
      <c r="D628" s="1" t="str">
        <f t="shared" ca="1" si="53"/>
        <v/>
      </c>
      <c r="E628" s="13" t="str">
        <f t="shared" ca="1" si="54"/>
        <v>No ruin</v>
      </c>
      <c r="F628">
        <f t="shared" ca="1" si="50"/>
        <v>0</v>
      </c>
    </row>
    <row r="629" spans="1:6">
      <c r="A629" s="3" t="str">
        <f t="shared" ca="1" si="51"/>
        <v/>
      </c>
      <c r="B629" s="2" t="str">
        <f t="shared" ca="1" si="52"/>
        <v/>
      </c>
      <c r="C629" s="2" t="str">
        <f ca="1">IF(E628="continue",SUM(B$8:B629),"")</f>
        <v/>
      </c>
      <c r="D629" s="1" t="str">
        <f t="shared" ca="1" si="53"/>
        <v/>
      </c>
      <c r="E629" s="13" t="str">
        <f t="shared" ca="1" si="54"/>
        <v>No ruin</v>
      </c>
      <c r="F629">
        <f t="shared" ca="1" si="50"/>
        <v>0</v>
      </c>
    </row>
    <row r="630" spans="1:6">
      <c r="A630" s="3" t="str">
        <f t="shared" ca="1" si="51"/>
        <v/>
      </c>
      <c r="B630" s="2" t="str">
        <f t="shared" ca="1" si="52"/>
        <v/>
      </c>
      <c r="C630" s="2" t="str">
        <f ca="1">IF(E629="continue",SUM(B$8:B630),"")</f>
        <v/>
      </c>
      <c r="D630" s="1" t="str">
        <f t="shared" ca="1" si="53"/>
        <v/>
      </c>
      <c r="E630" s="13" t="str">
        <f t="shared" ca="1" si="54"/>
        <v>No ruin</v>
      </c>
      <c r="F630">
        <f t="shared" ca="1" si="50"/>
        <v>0</v>
      </c>
    </row>
    <row r="631" spans="1:6">
      <c r="A631" s="3" t="str">
        <f t="shared" ca="1" si="51"/>
        <v/>
      </c>
      <c r="B631" s="2" t="str">
        <f t="shared" ca="1" si="52"/>
        <v/>
      </c>
      <c r="C631" s="2" t="str">
        <f ca="1">IF(E630="continue",SUM(B$8:B631),"")</f>
        <v/>
      </c>
      <c r="D631" s="1" t="str">
        <f t="shared" ca="1" si="53"/>
        <v/>
      </c>
      <c r="E631" s="13" t="str">
        <f t="shared" ca="1" si="54"/>
        <v>No ruin</v>
      </c>
      <c r="F631">
        <f t="shared" ca="1" si="50"/>
        <v>0</v>
      </c>
    </row>
    <row r="632" spans="1:6">
      <c r="A632" s="3" t="str">
        <f t="shared" ca="1" si="51"/>
        <v/>
      </c>
      <c r="B632" s="2" t="str">
        <f t="shared" ca="1" si="52"/>
        <v/>
      </c>
      <c r="C632" s="2" t="str">
        <f ca="1">IF(E631="continue",SUM(B$8:B632),"")</f>
        <v/>
      </c>
      <c r="D632" s="1" t="str">
        <f t="shared" ca="1" si="53"/>
        <v/>
      </c>
      <c r="E632" s="13" t="str">
        <f t="shared" ca="1" si="54"/>
        <v>No ruin</v>
      </c>
      <c r="F632">
        <f t="shared" ca="1" si="50"/>
        <v>0</v>
      </c>
    </row>
    <row r="633" spans="1:6">
      <c r="A633" s="3" t="str">
        <f t="shared" ca="1" si="51"/>
        <v/>
      </c>
      <c r="B633" s="2" t="str">
        <f t="shared" ca="1" si="52"/>
        <v/>
      </c>
      <c r="C633" s="2" t="str">
        <f ca="1">IF(E632="continue",SUM(B$8:B633),"")</f>
        <v/>
      </c>
      <c r="D633" s="1" t="str">
        <f t="shared" ca="1" si="53"/>
        <v/>
      </c>
      <c r="E633" s="13" t="str">
        <f t="shared" ca="1" si="54"/>
        <v>No ruin</v>
      </c>
      <c r="F633">
        <f t="shared" ca="1" si="50"/>
        <v>0</v>
      </c>
    </row>
    <row r="634" spans="1:6">
      <c r="A634" s="3" t="str">
        <f t="shared" ca="1" si="51"/>
        <v/>
      </c>
      <c r="B634" s="2" t="str">
        <f t="shared" ca="1" si="52"/>
        <v/>
      </c>
      <c r="C634" s="2" t="str">
        <f ca="1">IF(E633="continue",SUM(B$8:B634),"")</f>
        <v/>
      </c>
      <c r="D634" s="1" t="str">
        <f t="shared" ca="1" si="53"/>
        <v/>
      </c>
      <c r="E634" s="13" t="str">
        <f t="shared" ca="1" si="54"/>
        <v>No ruin</v>
      </c>
      <c r="F634">
        <f t="shared" ca="1" si="50"/>
        <v>0</v>
      </c>
    </row>
    <row r="635" spans="1:6">
      <c r="A635" s="3" t="str">
        <f t="shared" ca="1" si="51"/>
        <v/>
      </c>
      <c r="B635" s="2" t="str">
        <f t="shared" ca="1" si="52"/>
        <v/>
      </c>
      <c r="C635" s="2" t="str">
        <f ca="1">IF(E634="continue",SUM(B$8:B635),"")</f>
        <v/>
      </c>
      <c r="D635" s="1" t="str">
        <f t="shared" ca="1" si="53"/>
        <v/>
      </c>
      <c r="E635" s="13" t="str">
        <f t="shared" ca="1" si="54"/>
        <v>No ruin</v>
      </c>
      <c r="F635">
        <f t="shared" ca="1" si="50"/>
        <v>0</v>
      </c>
    </row>
    <row r="636" spans="1:6">
      <c r="A636" s="3" t="str">
        <f t="shared" ca="1" si="51"/>
        <v/>
      </c>
      <c r="B636" s="2" t="str">
        <f t="shared" ca="1" si="52"/>
        <v/>
      </c>
      <c r="C636" s="2" t="str">
        <f ca="1">IF(E635="continue",SUM(B$8:B636),"")</f>
        <v/>
      </c>
      <c r="D636" s="1" t="str">
        <f t="shared" ca="1" si="53"/>
        <v/>
      </c>
      <c r="E636" s="13" t="str">
        <f t="shared" ca="1" si="54"/>
        <v>No ruin</v>
      </c>
      <c r="F636">
        <f t="shared" ca="1" si="50"/>
        <v>0</v>
      </c>
    </row>
    <row r="637" spans="1:6">
      <c r="A637" s="3" t="str">
        <f t="shared" ca="1" si="51"/>
        <v/>
      </c>
      <c r="B637" s="2" t="str">
        <f t="shared" ca="1" si="52"/>
        <v/>
      </c>
      <c r="C637" s="2" t="str">
        <f ca="1">IF(E636="continue",SUM(B$8:B637),"")</f>
        <v/>
      </c>
      <c r="D637" s="1" t="str">
        <f t="shared" ca="1" si="53"/>
        <v/>
      </c>
      <c r="E637" s="13" t="str">
        <f t="shared" ca="1" si="54"/>
        <v>No ruin</v>
      </c>
      <c r="F637">
        <f t="shared" ca="1" si="50"/>
        <v>0</v>
      </c>
    </row>
    <row r="638" spans="1:6">
      <c r="A638" s="3" t="str">
        <f t="shared" ca="1" si="51"/>
        <v/>
      </c>
      <c r="B638" s="2" t="str">
        <f t="shared" ca="1" si="52"/>
        <v/>
      </c>
      <c r="C638" s="2" t="str">
        <f ca="1">IF(E637="continue",SUM(B$8:B638),"")</f>
        <v/>
      </c>
      <c r="D638" s="1" t="str">
        <f t="shared" ca="1" si="53"/>
        <v/>
      </c>
      <c r="E638" s="13" t="str">
        <f t="shared" ca="1" si="54"/>
        <v>No ruin</v>
      </c>
      <c r="F638">
        <f t="shared" ca="1" si="50"/>
        <v>0</v>
      </c>
    </row>
    <row r="639" spans="1:6">
      <c r="A639" s="3" t="str">
        <f t="shared" ca="1" si="51"/>
        <v/>
      </c>
      <c r="B639" s="2" t="str">
        <f t="shared" ca="1" si="52"/>
        <v/>
      </c>
      <c r="C639" s="2" t="str">
        <f ca="1">IF(E638="continue",SUM(B$8:B639),"")</f>
        <v/>
      </c>
      <c r="D639" s="1" t="str">
        <f t="shared" ca="1" si="53"/>
        <v/>
      </c>
      <c r="E639" s="13" t="str">
        <f t="shared" ca="1" si="54"/>
        <v>No ruin</v>
      </c>
      <c r="F639">
        <f t="shared" ca="1" si="50"/>
        <v>0</v>
      </c>
    </row>
    <row r="640" spans="1:6">
      <c r="A640" s="3" t="str">
        <f t="shared" ca="1" si="51"/>
        <v/>
      </c>
      <c r="B640" s="2" t="str">
        <f t="shared" ca="1" si="52"/>
        <v/>
      </c>
      <c r="C640" s="2" t="str">
        <f ca="1">IF(E639="continue",SUM(B$8:B640),"")</f>
        <v/>
      </c>
      <c r="D640" s="1" t="str">
        <f t="shared" ca="1" si="53"/>
        <v/>
      </c>
      <c r="E640" s="13" t="str">
        <f t="shared" ca="1" si="54"/>
        <v>No ruin</v>
      </c>
      <c r="F640">
        <f t="shared" ca="1" si="50"/>
        <v>0</v>
      </c>
    </row>
    <row r="641" spans="1:6">
      <c r="A641" s="3" t="str">
        <f t="shared" ca="1" si="51"/>
        <v/>
      </c>
      <c r="B641" s="2" t="str">
        <f t="shared" ca="1" si="52"/>
        <v/>
      </c>
      <c r="C641" s="2" t="str">
        <f ca="1">IF(E640="continue",SUM(B$8:B641),"")</f>
        <v/>
      </c>
      <c r="D641" s="1" t="str">
        <f t="shared" ca="1" si="53"/>
        <v/>
      </c>
      <c r="E641" s="13" t="str">
        <f t="shared" ca="1" si="54"/>
        <v>No ruin</v>
      </c>
      <c r="F641">
        <f t="shared" ca="1" si="50"/>
        <v>0</v>
      </c>
    </row>
    <row r="642" spans="1:6">
      <c r="A642" s="3" t="str">
        <f t="shared" ca="1" si="51"/>
        <v/>
      </c>
      <c r="B642" s="2" t="str">
        <f t="shared" ca="1" si="52"/>
        <v/>
      </c>
      <c r="C642" s="2" t="str">
        <f ca="1">IF(E641="continue",SUM(B$8:B642),"")</f>
        <v/>
      </c>
      <c r="D642" s="1" t="str">
        <f t="shared" ca="1" si="53"/>
        <v/>
      </c>
      <c r="E642" s="13" t="str">
        <f t="shared" ca="1" si="54"/>
        <v>No ruin</v>
      </c>
      <c r="F642">
        <f t="shared" ca="1" si="50"/>
        <v>0</v>
      </c>
    </row>
    <row r="643" spans="1:6">
      <c r="A643" s="3" t="str">
        <f t="shared" ca="1" si="51"/>
        <v/>
      </c>
      <c r="B643" s="2" t="str">
        <f t="shared" ca="1" si="52"/>
        <v/>
      </c>
      <c r="C643" s="2" t="str">
        <f ca="1">IF(E642="continue",SUM(B$8:B643),"")</f>
        <v/>
      </c>
      <c r="D643" s="1" t="str">
        <f t="shared" ca="1" si="53"/>
        <v/>
      </c>
      <c r="E643" s="13" t="str">
        <f t="shared" ca="1" si="54"/>
        <v>No ruin</v>
      </c>
      <c r="F643">
        <f t="shared" ca="1" si="50"/>
        <v>0</v>
      </c>
    </row>
    <row r="644" spans="1:6">
      <c r="A644" s="3" t="str">
        <f t="shared" ca="1" si="51"/>
        <v/>
      </c>
      <c r="B644" s="2" t="str">
        <f t="shared" ca="1" si="52"/>
        <v/>
      </c>
      <c r="C644" s="2" t="str">
        <f ca="1">IF(E643="continue",SUM(B$8:B644),"")</f>
        <v/>
      </c>
      <c r="D644" s="1" t="str">
        <f t="shared" ca="1" si="53"/>
        <v/>
      </c>
      <c r="E644" s="13" t="str">
        <f t="shared" ca="1" si="54"/>
        <v>No ruin</v>
      </c>
      <c r="F644">
        <f t="shared" ca="1" si="50"/>
        <v>0</v>
      </c>
    </row>
    <row r="645" spans="1:6">
      <c r="A645" s="3" t="str">
        <f t="shared" ca="1" si="51"/>
        <v/>
      </c>
      <c r="B645" s="2" t="str">
        <f t="shared" ca="1" si="52"/>
        <v/>
      </c>
      <c r="C645" s="2" t="str">
        <f ca="1">IF(E644="continue",SUM(B$8:B645),"")</f>
        <v/>
      </c>
      <c r="D645" s="1" t="str">
        <f t="shared" ca="1" si="53"/>
        <v/>
      </c>
      <c r="E645" s="13" t="str">
        <f t="shared" ca="1" si="54"/>
        <v>No ruin</v>
      </c>
      <c r="F645">
        <f t="shared" ca="1" si="50"/>
        <v>0</v>
      </c>
    </row>
    <row r="646" spans="1:6">
      <c r="A646" s="3" t="str">
        <f t="shared" ca="1" si="51"/>
        <v/>
      </c>
      <c r="B646" s="2" t="str">
        <f t="shared" ca="1" si="52"/>
        <v/>
      </c>
      <c r="C646" s="2" t="str">
        <f ca="1">IF(E645="continue",SUM(B$8:B646),"")</f>
        <v/>
      </c>
      <c r="D646" s="1" t="str">
        <f t="shared" ca="1" si="53"/>
        <v/>
      </c>
      <c r="E646" s="13" t="str">
        <f t="shared" ca="1" si="54"/>
        <v>No ruin</v>
      </c>
      <c r="F646">
        <f t="shared" ca="1" si="50"/>
        <v>0</v>
      </c>
    </row>
    <row r="647" spans="1:6">
      <c r="A647" s="3" t="str">
        <f t="shared" ca="1" si="51"/>
        <v/>
      </c>
      <c r="B647" s="2" t="str">
        <f t="shared" ca="1" si="52"/>
        <v/>
      </c>
      <c r="C647" s="2" t="str">
        <f ca="1">IF(E646="continue",SUM(B$8:B647),"")</f>
        <v/>
      </c>
      <c r="D647" s="1" t="str">
        <f t="shared" ca="1" si="53"/>
        <v/>
      </c>
      <c r="E647" s="13" t="str">
        <f t="shared" ca="1" si="54"/>
        <v>No ruin</v>
      </c>
      <c r="F647">
        <f t="shared" ca="1" si="50"/>
        <v>0</v>
      </c>
    </row>
    <row r="648" spans="1:6">
      <c r="A648" s="3" t="str">
        <f t="shared" ca="1" si="51"/>
        <v/>
      </c>
      <c r="B648" s="2" t="str">
        <f t="shared" ca="1" si="52"/>
        <v/>
      </c>
      <c r="C648" s="2" t="str">
        <f ca="1">IF(E647="continue",SUM(B$8:B648),"")</f>
        <v/>
      </c>
      <c r="D648" s="1" t="str">
        <f t="shared" ca="1" si="53"/>
        <v/>
      </c>
      <c r="E648" s="13" t="str">
        <f t="shared" ca="1" si="54"/>
        <v>No ruin</v>
      </c>
      <c r="F648">
        <f t="shared" ca="1" si="50"/>
        <v>0</v>
      </c>
    </row>
    <row r="649" spans="1:6">
      <c r="A649" s="3" t="str">
        <f t="shared" ca="1" si="51"/>
        <v/>
      </c>
      <c r="B649" s="2" t="str">
        <f t="shared" ca="1" si="52"/>
        <v/>
      </c>
      <c r="C649" s="2" t="str">
        <f ca="1">IF(E648="continue",SUM(B$8:B649),"")</f>
        <v/>
      </c>
      <c r="D649" s="1" t="str">
        <f t="shared" ca="1" si="53"/>
        <v/>
      </c>
      <c r="E649" s="13" t="str">
        <f t="shared" ca="1" si="54"/>
        <v>No ruin</v>
      </c>
      <c r="F649">
        <f t="shared" ca="1" si="50"/>
        <v>0</v>
      </c>
    </row>
    <row r="650" spans="1:6">
      <c r="A650" s="3" t="str">
        <f t="shared" ca="1" si="51"/>
        <v/>
      </c>
      <c r="B650" s="2" t="str">
        <f t="shared" ca="1" si="52"/>
        <v/>
      </c>
      <c r="C650" s="2" t="str">
        <f ca="1">IF(E649="continue",SUM(B$8:B650),"")</f>
        <v/>
      </c>
      <c r="D650" s="1" t="str">
        <f t="shared" ca="1" si="53"/>
        <v/>
      </c>
      <c r="E650" s="13" t="str">
        <f t="shared" ca="1" si="54"/>
        <v>No ruin</v>
      </c>
      <c r="F650">
        <f t="shared" ref="F650:F713" ca="1" si="55">IF(E650="RUIN",1,0)</f>
        <v>0</v>
      </c>
    </row>
    <row r="651" spans="1:6">
      <c r="A651" s="3" t="str">
        <f t="shared" ca="1" si="51"/>
        <v/>
      </c>
      <c r="B651" s="2" t="str">
        <f t="shared" ca="1" si="52"/>
        <v/>
      </c>
      <c r="C651" s="2" t="str">
        <f ca="1">IF(E650="continue",SUM(B$8:B651),"")</f>
        <v/>
      </c>
      <c r="D651" s="1" t="str">
        <f t="shared" ca="1" si="53"/>
        <v/>
      </c>
      <c r="E651" s="13" t="str">
        <f t="shared" ca="1" si="54"/>
        <v>No ruin</v>
      </c>
      <c r="F651">
        <f t="shared" ca="1" si="55"/>
        <v>0</v>
      </c>
    </row>
    <row r="652" spans="1:6">
      <c r="A652" s="3" t="str">
        <f t="shared" ca="1" si="51"/>
        <v/>
      </c>
      <c r="B652" s="2" t="str">
        <f t="shared" ca="1" si="52"/>
        <v/>
      </c>
      <c r="C652" s="2" t="str">
        <f ca="1">IF(E651="continue",SUM(B$8:B652),"")</f>
        <v/>
      </c>
      <c r="D652" s="1" t="str">
        <f t="shared" ca="1" si="53"/>
        <v/>
      </c>
      <c r="E652" s="13" t="str">
        <f t="shared" ca="1" si="54"/>
        <v>No ruin</v>
      </c>
      <c r="F652">
        <f t="shared" ca="1" si="55"/>
        <v>0</v>
      </c>
    </row>
    <row r="653" spans="1:6">
      <c r="A653" s="3" t="str">
        <f t="shared" ca="1" si="51"/>
        <v/>
      </c>
      <c r="B653" s="2" t="str">
        <f t="shared" ca="1" si="52"/>
        <v/>
      </c>
      <c r="C653" s="2" t="str">
        <f ca="1">IF(E652="continue",SUM(B$8:B653),"")</f>
        <v/>
      </c>
      <c r="D653" s="1" t="str">
        <f t="shared" ca="1" si="53"/>
        <v/>
      </c>
      <c r="E653" s="13" t="str">
        <f t="shared" ca="1" si="54"/>
        <v>No ruin</v>
      </c>
      <c r="F653">
        <f t="shared" ca="1" si="55"/>
        <v>0</v>
      </c>
    </row>
    <row r="654" spans="1:6">
      <c r="A654" s="3" t="str">
        <f t="shared" ca="1" si="51"/>
        <v/>
      </c>
      <c r="B654" s="2" t="str">
        <f t="shared" ca="1" si="52"/>
        <v/>
      </c>
      <c r="C654" s="2" t="str">
        <f ca="1">IF(E653="continue",SUM(B$8:B654),"")</f>
        <v/>
      </c>
      <c r="D654" s="1" t="str">
        <f t="shared" ca="1" si="53"/>
        <v/>
      </c>
      <c r="E654" s="13" t="str">
        <f t="shared" ca="1" si="54"/>
        <v>No ruin</v>
      </c>
      <c r="F654">
        <f t="shared" ca="1" si="55"/>
        <v>0</v>
      </c>
    </row>
    <row r="655" spans="1:6">
      <c r="A655" s="3" t="str">
        <f t="shared" ca="1" si="51"/>
        <v/>
      </c>
      <c r="B655" s="2" t="str">
        <f t="shared" ca="1" si="52"/>
        <v/>
      </c>
      <c r="C655" s="2" t="str">
        <f ca="1">IF(E654="continue",SUM(B$8:B655),"")</f>
        <v/>
      </c>
      <c r="D655" s="1" t="str">
        <f t="shared" ca="1" si="53"/>
        <v/>
      </c>
      <c r="E655" s="13" t="str">
        <f t="shared" ca="1" si="54"/>
        <v>No ruin</v>
      </c>
      <c r="F655">
        <f t="shared" ca="1" si="55"/>
        <v>0</v>
      </c>
    </row>
    <row r="656" spans="1:6">
      <c r="A656" s="3" t="str">
        <f t="shared" ca="1" si="51"/>
        <v/>
      </c>
      <c r="B656" s="2" t="str">
        <f t="shared" ca="1" si="52"/>
        <v/>
      </c>
      <c r="C656" s="2" t="str">
        <f ca="1">IF(E655="continue",SUM(B$8:B656),"")</f>
        <v/>
      </c>
      <c r="D656" s="1" t="str">
        <f t="shared" ca="1" si="53"/>
        <v/>
      </c>
      <c r="E656" s="13" t="str">
        <f t="shared" ca="1" si="54"/>
        <v>No ruin</v>
      </c>
      <c r="F656">
        <f t="shared" ca="1" si="55"/>
        <v>0</v>
      </c>
    </row>
    <row r="657" spans="1:6">
      <c r="A657" s="3" t="str">
        <f t="shared" ca="1" si="51"/>
        <v/>
      </c>
      <c r="B657" s="2" t="str">
        <f t="shared" ca="1" si="52"/>
        <v/>
      </c>
      <c r="C657" s="2" t="str">
        <f ca="1">IF(E656="continue",SUM(B$8:B657),"")</f>
        <v/>
      </c>
      <c r="D657" s="1" t="str">
        <f t="shared" ca="1" si="53"/>
        <v/>
      </c>
      <c r="E657" s="13" t="str">
        <f t="shared" ca="1" si="54"/>
        <v>No ruin</v>
      </c>
      <c r="F657">
        <f t="shared" ca="1" si="55"/>
        <v>0</v>
      </c>
    </row>
    <row r="658" spans="1:6">
      <c r="A658" s="3" t="str">
        <f t="shared" ca="1" si="51"/>
        <v/>
      </c>
      <c r="B658" s="2" t="str">
        <f t="shared" ca="1" si="52"/>
        <v/>
      </c>
      <c r="C658" s="2" t="str">
        <f ca="1">IF(E657="continue",SUM(B$8:B658),"")</f>
        <v/>
      </c>
      <c r="D658" s="1" t="str">
        <f t="shared" ca="1" si="53"/>
        <v/>
      </c>
      <c r="E658" s="13" t="str">
        <f t="shared" ca="1" si="54"/>
        <v>No ruin</v>
      </c>
      <c r="F658">
        <f t="shared" ca="1" si="55"/>
        <v>0</v>
      </c>
    </row>
    <row r="659" spans="1:6">
      <c r="A659" s="3" t="str">
        <f t="shared" ca="1" si="51"/>
        <v/>
      </c>
      <c r="B659" s="2" t="str">
        <f t="shared" ca="1" si="52"/>
        <v/>
      </c>
      <c r="C659" s="2" t="str">
        <f ca="1">IF(E658="continue",SUM(B$8:B659),"")</f>
        <v/>
      </c>
      <c r="D659" s="1" t="str">
        <f t="shared" ca="1" si="53"/>
        <v/>
      </c>
      <c r="E659" s="13" t="str">
        <f t="shared" ca="1" si="54"/>
        <v>No ruin</v>
      </c>
      <c r="F659">
        <f t="shared" ca="1" si="55"/>
        <v>0</v>
      </c>
    </row>
    <row r="660" spans="1:6">
      <c r="A660" s="3" t="str">
        <f t="shared" ca="1" si="51"/>
        <v/>
      </c>
      <c r="B660" s="2" t="str">
        <f t="shared" ca="1" si="52"/>
        <v/>
      </c>
      <c r="C660" s="2" t="str">
        <f ca="1">IF(E659="continue",SUM(B$8:B660),"")</f>
        <v/>
      </c>
      <c r="D660" s="1" t="str">
        <f t="shared" ca="1" si="53"/>
        <v/>
      </c>
      <c r="E660" s="13" t="str">
        <f t="shared" ca="1" si="54"/>
        <v>No ruin</v>
      </c>
      <c r="F660">
        <f t="shared" ca="1" si="55"/>
        <v>0</v>
      </c>
    </row>
    <row r="661" spans="1:6">
      <c r="A661" s="3" t="str">
        <f t="shared" ca="1" si="51"/>
        <v/>
      </c>
      <c r="B661" s="2" t="str">
        <f t="shared" ca="1" si="52"/>
        <v/>
      </c>
      <c r="C661" s="2" t="str">
        <f ca="1">IF(E660="continue",SUM(B$8:B661),"")</f>
        <v/>
      </c>
      <c r="D661" s="1" t="str">
        <f t="shared" ca="1" si="53"/>
        <v/>
      </c>
      <c r="E661" s="13" t="str">
        <f t="shared" ca="1" si="54"/>
        <v>No ruin</v>
      </c>
      <c r="F661">
        <f t="shared" ca="1" si="55"/>
        <v>0</v>
      </c>
    </row>
    <row r="662" spans="1:6">
      <c r="A662" s="3" t="str">
        <f t="shared" ca="1" si="51"/>
        <v/>
      </c>
      <c r="B662" s="2" t="str">
        <f t="shared" ca="1" si="52"/>
        <v/>
      </c>
      <c r="C662" s="2" t="str">
        <f ca="1">IF(E661="continue",SUM(B$8:B662),"")</f>
        <v/>
      </c>
      <c r="D662" s="1" t="str">
        <f t="shared" ca="1" si="53"/>
        <v/>
      </c>
      <c r="E662" s="13" t="str">
        <f t="shared" ca="1" si="54"/>
        <v>No ruin</v>
      </c>
      <c r="F662">
        <f t="shared" ca="1" si="55"/>
        <v>0</v>
      </c>
    </row>
    <row r="663" spans="1:6">
      <c r="A663" s="3" t="str">
        <f t="shared" ca="1" si="51"/>
        <v/>
      </c>
      <c r="B663" s="2" t="str">
        <f t="shared" ca="1" si="52"/>
        <v/>
      </c>
      <c r="C663" s="2" t="str">
        <f ca="1">IF(E662="continue",SUM(B$8:B663),"")</f>
        <v/>
      </c>
      <c r="D663" s="1" t="str">
        <f t="shared" ca="1" si="53"/>
        <v/>
      </c>
      <c r="E663" s="13" t="str">
        <f t="shared" ca="1" si="54"/>
        <v>No ruin</v>
      </c>
      <c r="F663">
        <f t="shared" ca="1" si="55"/>
        <v>0</v>
      </c>
    </row>
    <row r="664" spans="1:6">
      <c r="A664" s="3" t="str">
        <f t="shared" ca="1" si="51"/>
        <v/>
      </c>
      <c r="B664" s="2" t="str">
        <f t="shared" ca="1" si="52"/>
        <v/>
      </c>
      <c r="C664" s="2" t="str">
        <f ca="1">IF(E663="continue",SUM(B$8:B664),"")</f>
        <v/>
      </c>
      <c r="D664" s="1" t="str">
        <f t="shared" ca="1" si="53"/>
        <v/>
      </c>
      <c r="E664" s="13" t="str">
        <f t="shared" ca="1" si="54"/>
        <v>No ruin</v>
      </c>
      <c r="F664">
        <f t="shared" ca="1" si="55"/>
        <v>0</v>
      </c>
    </row>
    <row r="665" spans="1:6">
      <c r="A665" s="3" t="str">
        <f t="shared" ca="1" si="51"/>
        <v/>
      </c>
      <c r="B665" s="2" t="str">
        <f t="shared" ca="1" si="52"/>
        <v/>
      </c>
      <c r="C665" s="2" t="str">
        <f ca="1">IF(E664="continue",SUM(B$8:B665),"")</f>
        <v/>
      </c>
      <c r="D665" s="1" t="str">
        <f t="shared" ca="1" si="53"/>
        <v/>
      </c>
      <c r="E665" s="13" t="str">
        <f t="shared" ca="1" si="54"/>
        <v>No ruin</v>
      </c>
      <c r="F665">
        <f t="shared" ca="1" si="55"/>
        <v>0</v>
      </c>
    </row>
    <row r="666" spans="1:6">
      <c r="A666" s="3" t="str">
        <f t="shared" ca="1" si="51"/>
        <v/>
      </c>
      <c r="B666" s="2" t="str">
        <f t="shared" ca="1" si="52"/>
        <v/>
      </c>
      <c r="C666" s="2" t="str">
        <f ca="1">IF(E665="continue",SUM(B$8:B666),"")</f>
        <v/>
      </c>
      <c r="D666" s="1" t="str">
        <f t="shared" ca="1" si="53"/>
        <v/>
      </c>
      <c r="E666" s="13" t="str">
        <f t="shared" ca="1" si="54"/>
        <v>No ruin</v>
      </c>
      <c r="F666">
        <f t="shared" ca="1" si="55"/>
        <v>0</v>
      </c>
    </row>
    <row r="667" spans="1:6">
      <c r="A667" s="3" t="str">
        <f t="shared" ca="1" si="51"/>
        <v/>
      </c>
      <c r="B667" s="2" t="str">
        <f t="shared" ca="1" si="52"/>
        <v/>
      </c>
      <c r="C667" s="2" t="str">
        <f ca="1">IF(E666="continue",SUM(B$8:B667),"")</f>
        <v/>
      </c>
      <c r="D667" s="1" t="str">
        <f t="shared" ca="1" si="53"/>
        <v/>
      </c>
      <c r="E667" s="13" t="str">
        <f t="shared" ca="1" si="54"/>
        <v>No ruin</v>
      </c>
      <c r="F667">
        <f t="shared" ca="1" si="55"/>
        <v>0</v>
      </c>
    </row>
    <row r="668" spans="1:6">
      <c r="A668" s="3" t="str">
        <f t="shared" ref="A668:A731" ca="1" si="56">IF(E667="continue",-LN(1-RAND())*O$3+A667,"")</f>
        <v/>
      </c>
      <c r="B668" s="2" t="str">
        <f t="shared" ref="B668:B731" ca="1" si="57">IF(E667="continue",-LN(1-RAND())*M$3,"")</f>
        <v/>
      </c>
      <c r="C668" s="2" t="str">
        <f ca="1">IF(E667="continue",SUM(B$8:B668),"")</f>
        <v/>
      </c>
      <c r="D668" s="1" t="str">
        <f t="shared" ref="D668:D731" ca="1" si="58">IF(E667="continue",(1+J$1)*(1/O$3)*M$3*A668,"")</f>
        <v/>
      </c>
      <c r="E668" s="13" t="str">
        <f t="shared" ref="E668:E731" ca="1" si="59">IF(A668&gt;G$1,"No ruin",IF(AND(A668&lt;=G$1,C668&gt;J$4+D668),"RUIN","continue"))</f>
        <v>No ruin</v>
      </c>
      <c r="F668">
        <f t="shared" ca="1" si="55"/>
        <v>0</v>
      </c>
    </row>
    <row r="669" spans="1:6">
      <c r="A669" s="3" t="str">
        <f t="shared" ca="1" si="56"/>
        <v/>
      </c>
      <c r="B669" s="2" t="str">
        <f t="shared" ca="1" si="57"/>
        <v/>
      </c>
      <c r="C669" s="2" t="str">
        <f ca="1">IF(E668="continue",SUM(B$8:B669),"")</f>
        <v/>
      </c>
      <c r="D669" s="1" t="str">
        <f t="shared" ca="1" si="58"/>
        <v/>
      </c>
      <c r="E669" s="13" t="str">
        <f t="shared" ca="1" si="59"/>
        <v>No ruin</v>
      </c>
      <c r="F669">
        <f t="shared" ca="1" si="55"/>
        <v>0</v>
      </c>
    </row>
    <row r="670" spans="1:6">
      <c r="A670" s="3" t="str">
        <f t="shared" ca="1" si="56"/>
        <v/>
      </c>
      <c r="B670" s="2" t="str">
        <f t="shared" ca="1" si="57"/>
        <v/>
      </c>
      <c r="C670" s="2" t="str">
        <f ca="1">IF(E669="continue",SUM(B$8:B670),"")</f>
        <v/>
      </c>
      <c r="D670" s="1" t="str">
        <f t="shared" ca="1" si="58"/>
        <v/>
      </c>
      <c r="E670" s="13" t="str">
        <f t="shared" ca="1" si="59"/>
        <v>No ruin</v>
      </c>
      <c r="F670">
        <f t="shared" ca="1" si="55"/>
        <v>0</v>
      </c>
    </row>
    <row r="671" spans="1:6">
      <c r="A671" s="3" t="str">
        <f t="shared" ca="1" si="56"/>
        <v/>
      </c>
      <c r="B671" s="2" t="str">
        <f t="shared" ca="1" si="57"/>
        <v/>
      </c>
      <c r="C671" s="2" t="str">
        <f ca="1">IF(E670="continue",SUM(B$8:B671),"")</f>
        <v/>
      </c>
      <c r="D671" s="1" t="str">
        <f t="shared" ca="1" si="58"/>
        <v/>
      </c>
      <c r="E671" s="13" t="str">
        <f t="shared" ca="1" si="59"/>
        <v>No ruin</v>
      </c>
      <c r="F671">
        <f t="shared" ca="1" si="55"/>
        <v>0</v>
      </c>
    </row>
    <row r="672" spans="1:6">
      <c r="A672" s="3" t="str">
        <f t="shared" ca="1" si="56"/>
        <v/>
      </c>
      <c r="B672" s="2" t="str">
        <f t="shared" ca="1" si="57"/>
        <v/>
      </c>
      <c r="C672" s="2" t="str">
        <f ca="1">IF(E671="continue",SUM(B$8:B672),"")</f>
        <v/>
      </c>
      <c r="D672" s="1" t="str">
        <f t="shared" ca="1" si="58"/>
        <v/>
      </c>
      <c r="E672" s="13" t="str">
        <f t="shared" ca="1" si="59"/>
        <v>No ruin</v>
      </c>
      <c r="F672">
        <f t="shared" ca="1" si="55"/>
        <v>0</v>
      </c>
    </row>
    <row r="673" spans="1:6">
      <c r="A673" s="3" t="str">
        <f t="shared" ca="1" si="56"/>
        <v/>
      </c>
      <c r="B673" s="2" t="str">
        <f t="shared" ca="1" si="57"/>
        <v/>
      </c>
      <c r="C673" s="2" t="str">
        <f ca="1">IF(E672="continue",SUM(B$8:B673),"")</f>
        <v/>
      </c>
      <c r="D673" s="1" t="str">
        <f t="shared" ca="1" si="58"/>
        <v/>
      </c>
      <c r="E673" s="13" t="str">
        <f t="shared" ca="1" si="59"/>
        <v>No ruin</v>
      </c>
      <c r="F673">
        <f t="shared" ca="1" si="55"/>
        <v>0</v>
      </c>
    </row>
    <row r="674" spans="1:6">
      <c r="A674" s="3" t="str">
        <f t="shared" ca="1" si="56"/>
        <v/>
      </c>
      <c r="B674" s="2" t="str">
        <f t="shared" ca="1" si="57"/>
        <v/>
      </c>
      <c r="C674" s="2" t="str">
        <f ca="1">IF(E673="continue",SUM(B$8:B674),"")</f>
        <v/>
      </c>
      <c r="D674" s="1" t="str">
        <f t="shared" ca="1" si="58"/>
        <v/>
      </c>
      <c r="E674" s="13" t="str">
        <f t="shared" ca="1" si="59"/>
        <v>No ruin</v>
      </c>
      <c r="F674">
        <f t="shared" ca="1" si="55"/>
        <v>0</v>
      </c>
    </row>
    <row r="675" spans="1:6">
      <c r="A675" s="3" t="str">
        <f t="shared" ca="1" si="56"/>
        <v/>
      </c>
      <c r="B675" s="2" t="str">
        <f t="shared" ca="1" si="57"/>
        <v/>
      </c>
      <c r="C675" s="2" t="str">
        <f ca="1">IF(E674="continue",SUM(B$8:B675),"")</f>
        <v/>
      </c>
      <c r="D675" s="1" t="str">
        <f t="shared" ca="1" si="58"/>
        <v/>
      </c>
      <c r="E675" s="13" t="str">
        <f t="shared" ca="1" si="59"/>
        <v>No ruin</v>
      </c>
      <c r="F675">
        <f t="shared" ca="1" si="55"/>
        <v>0</v>
      </c>
    </row>
    <row r="676" spans="1:6">
      <c r="A676" s="3" t="str">
        <f t="shared" ca="1" si="56"/>
        <v/>
      </c>
      <c r="B676" s="2" t="str">
        <f t="shared" ca="1" si="57"/>
        <v/>
      </c>
      <c r="C676" s="2" t="str">
        <f ca="1">IF(E675="continue",SUM(B$8:B676),"")</f>
        <v/>
      </c>
      <c r="D676" s="1" t="str">
        <f t="shared" ca="1" si="58"/>
        <v/>
      </c>
      <c r="E676" s="13" t="str">
        <f t="shared" ca="1" si="59"/>
        <v>No ruin</v>
      </c>
      <c r="F676">
        <f t="shared" ca="1" si="55"/>
        <v>0</v>
      </c>
    </row>
    <row r="677" spans="1:6">
      <c r="A677" s="3" t="str">
        <f t="shared" ca="1" si="56"/>
        <v/>
      </c>
      <c r="B677" s="2" t="str">
        <f t="shared" ca="1" si="57"/>
        <v/>
      </c>
      <c r="C677" s="2" t="str">
        <f ca="1">IF(E676="continue",SUM(B$8:B677),"")</f>
        <v/>
      </c>
      <c r="D677" s="1" t="str">
        <f t="shared" ca="1" si="58"/>
        <v/>
      </c>
      <c r="E677" s="13" t="str">
        <f t="shared" ca="1" si="59"/>
        <v>No ruin</v>
      </c>
      <c r="F677">
        <f t="shared" ca="1" si="55"/>
        <v>0</v>
      </c>
    </row>
    <row r="678" spans="1:6">
      <c r="A678" s="3" t="str">
        <f t="shared" ca="1" si="56"/>
        <v/>
      </c>
      <c r="B678" s="2" t="str">
        <f t="shared" ca="1" si="57"/>
        <v/>
      </c>
      <c r="C678" s="2" t="str">
        <f ca="1">IF(E677="continue",SUM(B$8:B678),"")</f>
        <v/>
      </c>
      <c r="D678" s="1" t="str">
        <f t="shared" ca="1" si="58"/>
        <v/>
      </c>
      <c r="E678" s="13" t="str">
        <f t="shared" ca="1" si="59"/>
        <v>No ruin</v>
      </c>
      <c r="F678">
        <f t="shared" ca="1" si="55"/>
        <v>0</v>
      </c>
    </row>
    <row r="679" spans="1:6">
      <c r="A679" s="3" t="str">
        <f t="shared" ca="1" si="56"/>
        <v/>
      </c>
      <c r="B679" s="2" t="str">
        <f t="shared" ca="1" si="57"/>
        <v/>
      </c>
      <c r="C679" s="2" t="str">
        <f ca="1">IF(E678="continue",SUM(B$8:B679),"")</f>
        <v/>
      </c>
      <c r="D679" s="1" t="str">
        <f t="shared" ca="1" si="58"/>
        <v/>
      </c>
      <c r="E679" s="13" t="str">
        <f t="shared" ca="1" si="59"/>
        <v>No ruin</v>
      </c>
      <c r="F679">
        <f t="shared" ca="1" si="55"/>
        <v>0</v>
      </c>
    </row>
    <row r="680" spans="1:6">
      <c r="A680" s="3" t="str">
        <f t="shared" ca="1" si="56"/>
        <v/>
      </c>
      <c r="B680" s="2" t="str">
        <f t="shared" ca="1" si="57"/>
        <v/>
      </c>
      <c r="C680" s="2" t="str">
        <f ca="1">IF(E679="continue",SUM(B$8:B680),"")</f>
        <v/>
      </c>
      <c r="D680" s="1" t="str">
        <f t="shared" ca="1" si="58"/>
        <v/>
      </c>
      <c r="E680" s="13" t="str">
        <f t="shared" ca="1" si="59"/>
        <v>No ruin</v>
      </c>
      <c r="F680">
        <f t="shared" ca="1" si="55"/>
        <v>0</v>
      </c>
    </row>
    <row r="681" spans="1:6">
      <c r="A681" s="3" t="str">
        <f t="shared" ca="1" si="56"/>
        <v/>
      </c>
      <c r="B681" s="2" t="str">
        <f t="shared" ca="1" si="57"/>
        <v/>
      </c>
      <c r="C681" s="2" t="str">
        <f ca="1">IF(E680="continue",SUM(B$8:B681),"")</f>
        <v/>
      </c>
      <c r="D681" s="1" t="str">
        <f t="shared" ca="1" si="58"/>
        <v/>
      </c>
      <c r="E681" s="13" t="str">
        <f t="shared" ca="1" si="59"/>
        <v>No ruin</v>
      </c>
      <c r="F681">
        <f t="shared" ca="1" si="55"/>
        <v>0</v>
      </c>
    </row>
    <row r="682" spans="1:6">
      <c r="A682" s="3" t="str">
        <f t="shared" ca="1" si="56"/>
        <v/>
      </c>
      <c r="B682" s="2" t="str">
        <f t="shared" ca="1" si="57"/>
        <v/>
      </c>
      <c r="C682" s="2" t="str">
        <f ca="1">IF(E681="continue",SUM(B$8:B682),"")</f>
        <v/>
      </c>
      <c r="D682" s="1" t="str">
        <f t="shared" ca="1" si="58"/>
        <v/>
      </c>
      <c r="E682" s="13" t="str">
        <f t="shared" ca="1" si="59"/>
        <v>No ruin</v>
      </c>
      <c r="F682">
        <f t="shared" ca="1" si="55"/>
        <v>0</v>
      </c>
    </row>
    <row r="683" spans="1:6">
      <c r="A683" s="3" t="str">
        <f t="shared" ca="1" si="56"/>
        <v/>
      </c>
      <c r="B683" s="2" t="str">
        <f t="shared" ca="1" si="57"/>
        <v/>
      </c>
      <c r="C683" s="2" t="str">
        <f ca="1">IF(E682="continue",SUM(B$8:B683),"")</f>
        <v/>
      </c>
      <c r="D683" s="1" t="str">
        <f t="shared" ca="1" si="58"/>
        <v/>
      </c>
      <c r="E683" s="13" t="str">
        <f t="shared" ca="1" si="59"/>
        <v>No ruin</v>
      </c>
      <c r="F683">
        <f t="shared" ca="1" si="55"/>
        <v>0</v>
      </c>
    </row>
    <row r="684" spans="1:6">
      <c r="A684" s="3" t="str">
        <f t="shared" ca="1" si="56"/>
        <v/>
      </c>
      <c r="B684" s="2" t="str">
        <f t="shared" ca="1" si="57"/>
        <v/>
      </c>
      <c r="C684" s="2" t="str">
        <f ca="1">IF(E683="continue",SUM(B$8:B684),"")</f>
        <v/>
      </c>
      <c r="D684" s="1" t="str">
        <f t="shared" ca="1" si="58"/>
        <v/>
      </c>
      <c r="E684" s="13" t="str">
        <f t="shared" ca="1" si="59"/>
        <v>No ruin</v>
      </c>
      <c r="F684">
        <f t="shared" ca="1" si="55"/>
        <v>0</v>
      </c>
    </row>
    <row r="685" spans="1:6">
      <c r="A685" s="3" t="str">
        <f t="shared" ca="1" si="56"/>
        <v/>
      </c>
      <c r="B685" s="2" t="str">
        <f t="shared" ca="1" si="57"/>
        <v/>
      </c>
      <c r="C685" s="2" t="str">
        <f ca="1">IF(E684="continue",SUM(B$8:B685),"")</f>
        <v/>
      </c>
      <c r="D685" s="1" t="str">
        <f t="shared" ca="1" si="58"/>
        <v/>
      </c>
      <c r="E685" s="13" t="str">
        <f t="shared" ca="1" si="59"/>
        <v>No ruin</v>
      </c>
      <c r="F685">
        <f t="shared" ca="1" si="55"/>
        <v>0</v>
      </c>
    </row>
    <row r="686" spans="1:6">
      <c r="A686" s="3" t="str">
        <f t="shared" ca="1" si="56"/>
        <v/>
      </c>
      <c r="B686" s="2" t="str">
        <f t="shared" ca="1" si="57"/>
        <v/>
      </c>
      <c r="C686" s="2" t="str">
        <f ca="1">IF(E685="continue",SUM(B$8:B686),"")</f>
        <v/>
      </c>
      <c r="D686" s="1" t="str">
        <f t="shared" ca="1" si="58"/>
        <v/>
      </c>
      <c r="E686" s="13" t="str">
        <f t="shared" ca="1" si="59"/>
        <v>No ruin</v>
      </c>
      <c r="F686">
        <f t="shared" ca="1" si="55"/>
        <v>0</v>
      </c>
    </row>
    <row r="687" spans="1:6">
      <c r="A687" s="3" t="str">
        <f t="shared" ca="1" si="56"/>
        <v/>
      </c>
      <c r="B687" s="2" t="str">
        <f t="shared" ca="1" si="57"/>
        <v/>
      </c>
      <c r="C687" s="2" t="str">
        <f ca="1">IF(E686="continue",SUM(B$8:B687),"")</f>
        <v/>
      </c>
      <c r="D687" s="1" t="str">
        <f t="shared" ca="1" si="58"/>
        <v/>
      </c>
      <c r="E687" s="13" t="str">
        <f t="shared" ca="1" si="59"/>
        <v>No ruin</v>
      </c>
      <c r="F687">
        <f t="shared" ca="1" si="55"/>
        <v>0</v>
      </c>
    </row>
    <row r="688" spans="1:6">
      <c r="A688" s="3" t="str">
        <f t="shared" ca="1" si="56"/>
        <v/>
      </c>
      <c r="B688" s="2" t="str">
        <f t="shared" ca="1" si="57"/>
        <v/>
      </c>
      <c r="C688" s="2" t="str">
        <f ca="1">IF(E687="continue",SUM(B$8:B688),"")</f>
        <v/>
      </c>
      <c r="D688" s="1" t="str">
        <f t="shared" ca="1" si="58"/>
        <v/>
      </c>
      <c r="E688" s="13" t="str">
        <f t="shared" ca="1" si="59"/>
        <v>No ruin</v>
      </c>
      <c r="F688">
        <f t="shared" ca="1" si="55"/>
        <v>0</v>
      </c>
    </row>
    <row r="689" spans="1:6">
      <c r="A689" s="3" t="str">
        <f t="shared" ca="1" si="56"/>
        <v/>
      </c>
      <c r="B689" s="2" t="str">
        <f t="shared" ca="1" si="57"/>
        <v/>
      </c>
      <c r="C689" s="2" t="str">
        <f ca="1">IF(E688="continue",SUM(B$8:B689),"")</f>
        <v/>
      </c>
      <c r="D689" s="1" t="str">
        <f t="shared" ca="1" si="58"/>
        <v/>
      </c>
      <c r="E689" s="13" t="str">
        <f t="shared" ca="1" si="59"/>
        <v>No ruin</v>
      </c>
      <c r="F689">
        <f t="shared" ca="1" si="55"/>
        <v>0</v>
      </c>
    </row>
    <row r="690" spans="1:6">
      <c r="A690" s="3" t="str">
        <f t="shared" ca="1" si="56"/>
        <v/>
      </c>
      <c r="B690" s="2" t="str">
        <f t="shared" ca="1" si="57"/>
        <v/>
      </c>
      <c r="C690" s="2" t="str">
        <f ca="1">IF(E689="continue",SUM(B$8:B690),"")</f>
        <v/>
      </c>
      <c r="D690" s="1" t="str">
        <f t="shared" ca="1" si="58"/>
        <v/>
      </c>
      <c r="E690" s="13" t="str">
        <f t="shared" ca="1" si="59"/>
        <v>No ruin</v>
      </c>
      <c r="F690">
        <f t="shared" ca="1" si="55"/>
        <v>0</v>
      </c>
    </row>
    <row r="691" spans="1:6">
      <c r="A691" s="3" t="str">
        <f t="shared" ca="1" si="56"/>
        <v/>
      </c>
      <c r="B691" s="2" t="str">
        <f t="shared" ca="1" si="57"/>
        <v/>
      </c>
      <c r="C691" s="2" t="str">
        <f ca="1">IF(E690="continue",SUM(B$8:B691),"")</f>
        <v/>
      </c>
      <c r="D691" s="1" t="str">
        <f t="shared" ca="1" si="58"/>
        <v/>
      </c>
      <c r="E691" s="13" t="str">
        <f t="shared" ca="1" si="59"/>
        <v>No ruin</v>
      </c>
      <c r="F691">
        <f t="shared" ca="1" si="55"/>
        <v>0</v>
      </c>
    </row>
    <row r="692" spans="1:6">
      <c r="A692" s="3" t="str">
        <f t="shared" ca="1" si="56"/>
        <v/>
      </c>
      <c r="B692" s="2" t="str">
        <f t="shared" ca="1" si="57"/>
        <v/>
      </c>
      <c r="C692" s="2" t="str">
        <f ca="1">IF(E691="continue",SUM(B$8:B692),"")</f>
        <v/>
      </c>
      <c r="D692" s="1" t="str">
        <f t="shared" ca="1" si="58"/>
        <v/>
      </c>
      <c r="E692" s="13" t="str">
        <f t="shared" ca="1" si="59"/>
        <v>No ruin</v>
      </c>
      <c r="F692">
        <f t="shared" ca="1" si="55"/>
        <v>0</v>
      </c>
    </row>
    <row r="693" spans="1:6">
      <c r="A693" s="3" t="str">
        <f t="shared" ca="1" si="56"/>
        <v/>
      </c>
      <c r="B693" s="2" t="str">
        <f t="shared" ca="1" si="57"/>
        <v/>
      </c>
      <c r="C693" s="2" t="str">
        <f ca="1">IF(E692="continue",SUM(B$8:B693),"")</f>
        <v/>
      </c>
      <c r="D693" s="1" t="str">
        <f t="shared" ca="1" si="58"/>
        <v/>
      </c>
      <c r="E693" s="13" t="str">
        <f t="shared" ca="1" si="59"/>
        <v>No ruin</v>
      </c>
      <c r="F693">
        <f t="shared" ca="1" si="55"/>
        <v>0</v>
      </c>
    </row>
    <row r="694" spans="1:6">
      <c r="A694" s="3" t="str">
        <f t="shared" ca="1" si="56"/>
        <v/>
      </c>
      <c r="B694" s="2" t="str">
        <f t="shared" ca="1" si="57"/>
        <v/>
      </c>
      <c r="C694" s="2" t="str">
        <f ca="1">IF(E693="continue",SUM(B$8:B694),"")</f>
        <v/>
      </c>
      <c r="D694" s="1" t="str">
        <f t="shared" ca="1" si="58"/>
        <v/>
      </c>
      <c r="E694" s="13" t="str">
        <f t="shared" ca="1" si="59"/>
        <v>No ruin</v>
      </c>
      <c r="F694">
        <f t="shared" ca="1" si="55"/>
        <v>0</v>
      </c>
    </row>
    <row r="695" spans="1:6">
      <c r="A695" s="3" t="str">
        <f t="shared" ca="1" si="56"/>
        <v/>
      </c>
      <c r="B695" s="2" t="str">
        <f t="shared" ca="1" si="57"/>
        <v/>
      </c>
      <c r="C695" s="2" t="str">
        <f ca="1">IF(E694="continue",SUM(B$8:B695),"")</f>
        <v/>
      </c>
      <c r="D695" s="1" t="str">
        <f t="shared" ca="1" si="58"/>
        <v/>
      </c>
      <c r="E695" s="13" t="str">
        <f t="shared" ca="1" si="59"/>
        <v>No ruin</v>
      </c>
      <c r="F695">
        <f t="shared" ca="1" si="55"/>
        <v>0</v>
      </c>
    </row>
    <row r="696" spans="1:6">
      <c r="A696" s="3" t="str">
        <f t="shared" ca="1" si="56"/>
        <v/>
      </c>
      <c r="B696" s="2" t="str">
        <f t="shared" ca="1" si="57"/>
        <v/>
      </c>
      <c r="C696" s="2" t="str">
        <f ca="1">IF(E695="continue",SUM(B$8:B696),"")</f>
        <v/>
      </c>
      <c r="D696" s="1" t="str">
        <f t="shared" ca="1" si="58"/>
        <v/>
      </c>
      <c r="E696" s="13" t="str">
        <f t="shared" ca="1" si="59"/>
        <v>No ruin</v>
      </c>
      <c r="F696">
        <f t="shared" ca="1" si="55"/>
        <v>0</v>
      </c>
    </row>
    <row r="697" spans="1:6">
      <c r="A697" s="3" t="str">
        <f t="shared" ca="1" si="56"/>
        <v/>
      </c>
      <c r="B697" s="2" t="str">
        <f t="shared" ca="1" si="57"/>
        <v/>
      </c>
      <c r="C697" s="2" t="str">
        <f ca="1">IF(E696="continue",SUM(B$8:B697),"")</f>
        <v/>
      </c>
      <c r="D697" s="1" t="str">
        <f t="shared" ca="1" si="58"/>
        <v/>
      </c>
      <c r="E697" s="13" t="str">
        <f t="shared" ca="1" si="59"/>
        <v>No ruin</v>
      </c>
      <c r="F697">
        <f t="shared" ca="1" si="55"/>
        <v>0</v>
      </c>
    </row>
    <row r="698" spans="1:6">
      <c r="A698" s="3" t="str">
        <f t="shared" ca="1" si="56"/>
        <v/>
      </c>
      <c r="B698" s="2" t="str">
        <f t="shared" ca="1" si="57"/>
        <v/>
      </c>
      <c r="C698" s="2" t="str">
        <f ca="1">IF(E697="continue",SUM(B$8:B698),"")</f>
        <v/>
      </c>
      <c r="D698" s="1" t="str">
        <f t="shared" ca="1" si="58"/>
        <v/>
      </c>
      <c r="E698" s="13" t="str">
        <f t="shared" ca="1" si="59"/>
        <v>No ruin</v>
      </c>
      <c r="F698">
        <f t="shared" ca="1" si="55"/>
        <v>0</v>
      </c>
    </row>
    <row r="699" spans="1:6">
      <c r="A699" s="3" t="str">
        <f t="shared" ca="1" si="56"/>
        <v/>
      </c>
      <c r="B699" s="2" t="str">
        <f t="shared" ca="1" si="57"/>
        <v/>
      </c>
      <c r="C699" s="2" t="str">
        <f ca="1">IF(E698="continue",SUM(B$8:B699),"")</f>
        <v/>
      </c>
      <c r="D699" s="1" t="str">
        <f t="shared" ca="1" si="58"/>
        <v/>
      </c>
      <c r="E699" s="13" t="str">
        <f t="shared" ca="1" si="59"/>
        <v>No ruin</v>
      </c>
      <c r="F699">
        <f t="shared" ca="1" si="55"/>
        <v>0</v>
      </c>
    </row>
    <row r="700" spans="1:6">
      <c r="A700" s="3" t="str">
        <f t="shared" ca="1" si="56"/>
        <v/>
      </c>
      <c r="B700" s="2" t="str">
        <f t="shared" ca="1" si="57"/>
        <v/>
      </c>
      <c r="C700" s="2" t="str">
        <f ca="1">IF(E699="continue",SUM(B$8:B700),"")</f>
        <v/>
      </c>
      <c r="D700" s="1" t="str">
        <f t="shared" ca="1" si="58"/>
        <v/>
      </c>
      <c r="E700" s="13" t="str">
        <f t="shared" ca="1" si="59"/>
        <v>No ruin</v>
      </c>
      <c r="F700">
        <f t="shared" ca="1" si="55"/>
        <v>0</v>
      </c>
    </row>
    <row r="701" spans="1:6">
      <c r="A701" s="3" t="str">
        <f t="shared" ca="1" si="56"/>
        <v/>
      </c>
      <c r="B701" s="2" t="str">
        <f t="shared" ca="1" si="57"/>
        <v/>
      </c>
      <c r="C701" s="2" t="str">
        <f ca="1">IF(E700="continue",SUM(B$8:B701),"")</f>
        <v/>
      </c>
      <c r="D701" s="1" t="str">
        <f t="shared" ca="1" si="58"/>
        <v/>
      </c>
      <c r="E701" s="13" t="str">
        <f t="shared" ca="1" si="59"/>
        <v>No ruin</v>
      </c>
      <c r="F701">
        <f t="shared" ca="1" si="55"/>
        <v>0</v>
      </c>
    </row>
    <row r="702" spans="1:6">
      <c r="A702" s="3" t="str">
        <f t="shared" ca="1" si="56"/>
        <v/>
      </c>
      <c r="B702" s="2" t="str">
        <f t="shared" ca="1" si="57"/>
        <v/>
      </c>
      <c r="C702" s="2" t="str">
        <f ca="1">IF(E701="continue",SUM(B$8:B702),"")</f>
        <v/>
      </c>
      <c r="D702" s="1" t="str">
        <f t="shared" ca="1" si="58"/>
        <v/>
      </c>
      <c r="E702" s="13" t="str">
        <f t="shared" ca="1" si="59"/>
        <v>No ruin</v>
      </c>
      <c r="F702">
        <f t="shared" ca="1" si="55"/>
        <v>0</v>
      </c>
    </row>
    <row r="703" spans="1:6">
      <c r="A703" s="3" t="str">
        <f t="shared" ca="1" si="56"/>
        <v/>
      </c>
      <c r="B703" s="2" t="str">
        <f t="shared" ca="1" si="57"/>
        <v/>
      </c>
      <c r="C703" s="2" t="str">
        <f ca="1">IF(E702="continue",SUM(B$8:B703),"")</f>
        <v/>
      </c>
      <c r="D703" s="1" t="str">
        <f t="shared" ca="1" si="58"/>
        <v/>
      </c>
      <c r="E703" s="13" t="str">
        <f t="shared" ca="1" si="59"/>
        <v>No ruin</v>
      </c>
      <c r="F703">
        <f t="shared" ca="1" si="55"/>
        <v>0</v>
      </c>
    </row>
    <row r="704" spans="1:6">
      <c r="A704" s="3" t="str">
        <f t="shared" ca="1" si="56"/>
        <v/>
      </c>
      <c r="B704" s="2" t="str">
        <f t="shared" ca="1" si="57"/>
        <v/>
      </c>
      <c r="C704" s="2" t="str">
        <f ca="1">IF(E703="continue",SUM(B$8:B704),"")</f>
        <v/>
      </c>
      <c r="D704" s="1" t="str">
        <f t="shared" ca="1" si="58"/>
        <v/>
      </c>
      <c r="E704" s="13" t="str">
        <f t="shared" ca="1" si="59"/>
        <v>No ruin</v>
      </c>
      <c r="F704">
        <f t="shared" ca="1" si="55"/>
        <v>0</v>
      </c>
    </row>
    <row r="705" spans="1:6">
      <c r="A705" s="3" t="str">
        <f t="shared" ca="1" si="56"/>
        <v/>
      </c>
      <c r="B705" s="2" t="str">
        <f t="shared" ca="1" si="57"/>
        <v/>
      </c>
      <c r="C705" s="2" t="str">
        <f ca="1">IF(E704="continue",SUM(B$8:B705),"")</f>
        <v/>
      </c>
      <c r="D705" s="1" t="str">
        <f t="shared" ca="1" si="58"/>
        <v/>
      </c>
      <c r="E705" s="13" t="str">
        <f t="shared" ca="1" si="59"/>
        <v>No ruin</v>
      </c>
      <c r="F705">
        <f t="shared" ca="1" si="55"/>
        <v>0</v>
      </c>
    </row>
    <row r="706" spans="1:6">
      <c r="A706" s="3" t="str">
        <f t="shared" ca="1" si="56"/>
        <v/>
      </c>
      <c r="B706" s="2" t="str">
        <f t="shared" ca="1" si="57"/>
        <v/>
      </c>
      <c r="C706" s="2" t="str">
        <f ca="1">IF(E705="continue",SUM(B$8:B706),"")</f>
        <v/>
      </c>
      <c r="D706" s="1" t="str">
        <f t="shared" ca="1" si="58"/>
        <v/>
      </c>
      <c r="E706" s="13" t="str">
        <f t="shared" ca="1" si="59"/>
        <v>No ruin</v>
      </c>
      <c r="F706">
        <f t="shared" ca="1" si="55"/>
        <v>0</v>
      </c>
    </row>
    <row r="707" spans="1:6">
      <c r="A707" s="3" t="str">
        <f t="shared" ca="1" si="56"/>
        <v/>
      </c>
      <c r="B707" s="2" t="str">
        <f t="shared" ca="1" si="57"/>
        <v/>
      </c>
      <c r="C707" s="2" t="str">
        <f ca="1">IF(E706="continue",SUM(B$8:B707),"")</f>
        <v/>
      </c>
      <c r="D707" s="1" t="str">
        <f t="shared" ca="1" si="58"/>
        <v/>
      </c>
      <c r="E707" s="13" t="str">
        <f t="shared" ca="1" si="59"/>
        <v>No ruin</v>
      </c>
      <c r="F707">
        <f t="shared" ca="1" si="55"/>
        <v>0</v>
      </c>
    </row>
    <row r="708" spans="1:6">
      <c r="A708" s="3" t="str">
        <f t="shared" ca="1" si="56"/>
        <v/>
      </c>
      <c r="B708" s="2" t="str">
        <f t="shared" ca="1" si="57"/>
        <v/>
      </c>
      <c r="C708" s="2" t="str">
        <f ca="1">IF(E707="continue",SUM(B$8:B708),"")</f>
        <v/>
      </c>
      <c r="D708" s="1" t="str">
        <f t="shared" ca="1" si="58"/>
        <v/>
      </c>
      <c r="E708" s="13" t="str">
        <f t="shared" ca="1" si="59"/>
        <v>No ruin</v>
      </c>
      <c r="F708">
        <f t="shared" ca="1" si="55"/>
        <v>0</v>
      </c>
    </row>
    <row r="709" spans="1:6">
      <c r="A709" s="3" t="str">
        <f t="shared" ca="1" si="56"/>
        <v/>
      </c>
      <c r="B709" s="2" t="str">
        <f t="shared" ca="1" si="57"/>
        <v/>
      </c>
      <c r="C709" s="2" t="str">
        <f ca="1">IF(E708="continue",SUM(B$8:B709),"")</f>
        <v/>
      </c>
      <c r="D709" s="1" t="str">
        <f t="shared" ca="1" si="58"/>
        <v/>
      </c>
      <c r="E709" s="13" t="str">
        <f t="shared" ca="1" si="59"/>
        <v>No ruin</v>
      </c>
      <c r="F709">
        <f t="shared" ca="1" si="55"/>
        <v>0</v>
      </c>
    </row>
    <row r="710" spans="1:6">
      <c r="A710" s="3" t="str">
        <f t="shared" ca="1" si="56"/>
        <v/>
      </c>
      <c r="B710" s="2" t="str">
        <f t="shared" ca="1" si="57"/>
        <v/>
      </c>
      <c r="C710" s="2" t="str">
        <f ca="1">IF(E709="continue",SUM(B$8:B710),"")</f>
        <v/>
      </c>
      <c r="D710" s="1" t="str">
        <f t="shared" ca="1" si="58"/>
        <v/>
      </c>
      <c r="E710" s="13" t="str">
        <f t="shared" ca="1" si="59"/>
        <v>No ruin</v>
      </c>
      <c r="F710">
        <f t="shared" ca="1" si="55"/>
        <v>0</v>
      </c>
    </row>
    <row r="711" spans="1:6">
      <c r="A711" s="3" t="str">
        <f t="shared" ca="1" si="56"/>
        <v/>
      </c>
      <c r="B711" s="2" t="str">
        <f t="shared" ca="1" si="57"/>
        <v/>
      </c>
      <c r="C711" s="2" t="str">
        <f ca="1">IF(E710="continue",SUM(B$8:B711),"")</f>
        <v/>
      </c>
      <c r="D711" s="1" t="str">
        <f t="shared" ca="1" si="58"/>
        <v/>
      </c>
      <c r="E711" s="13" t="str">
        <f t="shared" ca="1" si="59"/>
        <v>No ruin</v>
      </c>
      <c r="F711">
        <f t="shared" ca="1" si="55"/>
        <v>0</v>
      </c>
    </row>
    <row r="712" spans="1:6">
      <c r="A712" s="3" t="str">
        <f t="shared" ca="1" si="56"/>
        <v/>
      </c>
      <c r="B712" s="2" t="str">
        <f t="shared" ca="1" si="57"/>
        <v/>
      </c>
      <c r="C712" s="2" t="str">
        <f ca="1">IF(E711="continue",SUM(B$8:B712),"")</f>
        <v/>
      </c>
      <c r="D712" s="1" t="str">
        <f t="shared" ca="1" si="58"/>
        <v/>
      </c>
      <c r="E712" s="13" t="str">
        <f t="shared" ca="1" si="59"/>
        <v>No ruin</v>
      </c>
      <c r="F712">
        <f t="shared" ca="1" si="55"/>
        <v>0</v>
      </c>
    </row>
    <row r="713" spans="1:6">
      <c r="A713" s="3" t="str">
        <f t="shared" ca="1" si="56"/>
        <v/>
      </c>
      <c r="B713" s="2" t="str">
        <f t="shared" ca="1" si="57"/>
        <v/>
      </c>
      <c r="C713" s="2" t="str">
        <f ca="1">IF(E712="continue",SUM(B$8:B713),"")</f>
        <v/>
      </c>
      <c r="D713" s="1" t="str">
        <f t="shared" ca="1" si="58"/>
        <v/>
      </c>
      <c r="E713" s="13" t="str">
        <f t="shared" ca="1" si="59"/>
        <v>No ruin</v>
      </c>
      <c r="F713">
        <f t="shared" ca="1" si="55"/>
        <v>0</v>
      </c>
    </row>
    <row r="714" spans="1:6">
      <c r="A714" s="3" t="str">
        <f t="shared" ca="1" si="56"/>
        <v/>
      </c>
      <c r="B714" s="2" t="str">
        <f t="shared" ca="1" si="57"/>
        <v/>
      </c>
      <c r="C714" s="2" t="str">
        <f ca="1">IF(E713="continue",SUM(B$8:B714),"")</f>
        <v/>
      </c>
      <c r="D714" s="1" t="str">
        <f t="shared" ca="1" si="58"/>
        <v/>
      </c>
      <c r="E714" s="13" t="str">
        <f t="shared" ca="1" si="59"/>
        <v>No ruin</v>
      </c>
      <c r="F714">
        <f t="shared" ref="F714:F777" ca="1" si="60">IF(E714="RUIN",1,0)</f>
        <v>0</v>
      </c>
    </row>
    <row r="715" spans="1:6">
      <c r="A715" s="3" t="str">
        <f t="shared" ca="1" si="56"/>
        <v/>
      </c>
      <c r="B715" s="2" t="str">
        <f t="shared" ca="1" si="57"/>
        <v/>
      </c>
      <c r="C715" s="2" t="str">
        <f ca="1">IF(E714="continue",SUM(B$8:B715),"")</f>
        <v/>
      </c>
      <c r="D715" s="1" t="str">
        <f t="shared" ca="1" si="58"/>
        <v/>
      </c>
      <c r="E715" s="13" t="str">
        <f t="shared" ca="1" si="59"/>
        <v>No ruin</v>
      </c>
      <c r="F715">
        <f t="shared" ca="1" si="60"/>
        <v>0</v>
      </c>
    </row>
    <row r="716" spans="1:6">
      <c r="A716" s="3" t="str">
        <f t="shared" ca="1" si="56"/>
        <v/>
      </c>
      <c r="B716" s="2" t="str">
        <f t="shared" ca="1" si="57"/>
        <v/>
      </c>
      <c r="C716" s="2" t="str">
        <f ca="1">IF(E715="continue",SUM(B$8:B716),"")</f>
        <v/>
      </c>
      <c r="D716" s="1" t="str">
        <f t="shared" ca="1" si="58"/>
        <v/>
      </c>
      <c r="E716" s="13" t="str">
        <f t="shared" ca="1" si="59"/>
        <v>No ruin</v>
      </c>
      <c r="F716">
        <f t="shared" ca="1" si="60"/>
        <v>0</v>
      </c>
    </row>
    <row r="717" spans="1:6">
      <c r="A717" s="3" t="str">
        <f t="shared" ca="1" si="56"/>
        <v/>
      </c>
      <c r="B717" s="2" t="str">
        <f t="shared" ca="1" si="57"/>
        <v/>
      </c>
      <c r="C717" s="2" t="str">
        <f ca="1">IF(E716="continue",SUM(B$8:B717),"")</f>
        <v/>
      </c>
      <c r="D717" s="1" t="str">
        <f t="shared" ca="1" si="58"/>
        <v/>
      </c>
      <c r="E717" s="13" t="str">
        <f t="shared" ca="1" si="59"/>
        <v>No ruin</v>
      </c>
      <c r="F717">
        <f t="shared" ca="1" si="60"/>
        <v>0</v>
      </c>
    </row>
    <row r="718" spans="1:6">
      <c r="A718" s="3" t="str">
        <f t="shared" ca="1" si="56"/>
        <v/>
      </c>
      <c r="B718" s="2" t="str">
        <f t="shared" ca="1" si="57"/>
        <v/>
      </c>
      <c r="C718" s="2" t="str">
        <f ca="1">IF(E717="continue",SUM(B$8:B718),"")</f>
        <v/>
      </c>
      <c r="D718" s="1" t="str">
        <f t="shared" ca="1" si="58"/>
        <v/>
      </c>
      <c r="E718" s="13" t="str">
        <f t="shared" ca="1" si="59"/>
        <v>No ruin</v>
      </c>
      <c r="F718">
        <f t="shared" ca="1" si="60"/>
        <v>0</v>
      </c>
    </row>
    <row r="719" spans="1:6">
      <c r="A719" s="3" t="str">
        <f t="shared" ca="1" si="56"/>
        <v/>
      </c>
      <c r="B719" s="2" t="str">
        <f t="shared" ca="1" si="57"/>
        <v/>
      </c>
      <c r="C719" s="2" t="str">
        <f ca="1">IF(E718="continue",SUM(B$8:B719),"")</f>
        <v/>
      </c>
      <c r="D719" s="1" t="str">
        <f t="shared" ca="1" si="58"/>
        <v/>
      </c>
      <c r="E719" s="13" t="str">
        <f t="shared" ca="1" si="59"/>
        <v>No ruin</v>
      </c>
      <c r="F719">
        <f t="shared" ca="1" si="60"/>
        <v>0</v>
      </c>
    </row>
    <row r="720" spans="1:6">
      <c r="A720" s="3" t="str">
        <f t="shared" ca="1" si="56"/>
        <v/>
      </c>
      <c r="B720" s="2" t="str">
        <f t="shared" ca="1" si="57"/>
        <v/>
      </c>
      <c r="C720" s="2" t="str">
        <f ca="1">IF(E719="continue",SUM(B$8:B720),"")</f>
        <v/>
      </c>
      <c r="D720" s="1" t="str">
        <f t="shared" ca="1" si="58"/>
        <v/>
      </c>
      <c r="E720" s="13" t="str">
        <f t="shared" ca="1" si="59"/>
        <v>No ruin</v>
      </c>
      <c r="F720">
        <f t="shared" ca="1" si="60"/>
        <v>0</v>
      </c>
    </row>
    <row r="721" spans="1:6">
      <c r="A721" s="3" t="str">
        <f t="shared" ca="1" si="56"/>
        <v/>
      </c>
      <c r="B721" s="2" t="str">
        <f t="shared" ca="1" si="57"/>
        <v/>
      </c>
      <c r="C721" s="2" t="str">
        <f ca="1">IF(E720="continue",SUM(B$8:B721),"")</f>
        <v/>
      </c>
      <c r="D721" s="1" t="str">
        <f t="shared" ca="1" si="58"/>
        <v/>
      </c>
      <c r="E721" s="13" t="str">
        <f t="shared" ca="1" si="59"/>
        <v>No ruin</v>
      </c>
      <c r="F721">
        <f t="shared" ca="1" si="60"/>
        <v>0</v>
      </c>
    </row>
    <row r="722" spans="1:6">
      <c r="A722" s="3" t="str">
        <f t="shared" ca="1" si="56"/>
        <v/>
      </c>
      <c r="B722" s="2" t="str">
        <f t="shared" ca="1" si="57"/>
        <v/>
      </c>
      <c r="C722" s="2" t="str">
        <f ca="1">IF(E721="continue",SUM(B$8:B722),"")</f>
        <v/>
      </c>
      <c r="D722" s="1" t="str">
        <f t="shared" ca="1" si="58"/>
        <v/>
      </c>
      <c r="E722" s="13" t="str">
        <f t="shared" ca="1" si="59"/>
        <v>No ruin</v>
      </c>
      <c r="F722">
        <f t="shared" ca="1" si="60"/>
        <v>0</v>
      </c>
    </row>
    <row r="723" spans="1:6">
      <c r="A723" s="3" t="str">
        <f t="shared" ca="1" si="56"/>
        <v/>
      </c>
      <c r="B723" s="2" t="str">
        <f t="shared" ca="1" si="57"/>
        <v/>
      </c>
      <c r="C723" s="2" t="str">
        <f ca="1">IF(E722="continue",SUM(B$8:B723),"")</f>
        <v/>
      </c>
      <c r="D723" s="1" t="str">
        <f t="shared" ca="1" si="58"/>
        <v/>
      </c>
      <c r="E723" s="13" t="str">
        <f t="shared" ca="1" si="59"/>
        <v>No ruin</v>
      </c>
      <c r="F723">
        <f t="shared" ca="1" si="60"/>
        <v>0</v>
      </c>
    </row>
    <row r="724" spans="1:6">
      <c r="A724" s="3" t="str">
        <f t="shared" ca="1" si="56"/>
        <v/>
      </c>
      <c r="B724" s="2" t="str">
        <f t="shared" ca="1" si="57"/>
        <v/>
      </c>
      <c r="C724" s="2" t="str">
        <f ca="1">IF(E723="continue",SUM(B$8:B724),"")</f>
        <v/>
      </c>
      <c r="D724" s="1" t="str">
        <f t="shared" ca="1" si="58"/>
        <v/>
      </c>
      <c r="E724" s="13" t="str">
        <f t="shared" ca="1" si="59"/>
        <v>No ruin</v>
      </c>
      <c r="F724">
        <f t="shared" ca="1" si="60"/>
        <v>0</v>
      </c>
    </row>
    <row r="725" spans="1:6">
      <c r="A725" s="3" t="str">
        <f t="shared" ca="1" si="56"/>
        <v/>
      </c>
      <c r="B725" s="2" t="str">
        <f t="shared" ca="1" si="57"/>
        <v/>
      </c>
      <c r="C725" s="2" t="str">
        <f ca="1">IF(E724="continue",SUM(B$8:B725),"")</f>
        <v/>
      </c>
      <c r="D725" s="1" t="str">
        <f t="shared" ca="1" si="58"/>
        <v/>
      </c>
      <c r="E725" s="13" t="str">
        <f t="shared" ca="1" si="59"/>
        <v>No ruin</v>
      </c>
      <c r="F725">
        <f t="shared" ca="1" si="60"/>
        <v>0</v>
      </c>
    </row>
    <row r="726" spans="1:6">
      <c r="A726" s="3" t="str">
        <f t="shared" ca="1" si="56"/>
        <v/>
      </c>
      <c r="B726" s="2" t="str">
        <f t="shared" ca="1" si="57"/>
        <v/>
      </c>
      <c r="C726" s="2" t="str">
        <f ca="1">IF(E725="continue",SUM(B$8:B726),"")</f>
        <v/>
      </c>
      <c r="D726" s="1" t="str">
        <f t="shared" ca="1" si="58"/>
        <v/>
      </c>
      <c r="E726" s="13" t="str">
        <f t="shared" ca="1" si="59"/>
        <v>No ruin</v>
      </c>
      <c r="F726">
        <f t="shared" ca="1" si="60"/>
        <v>0</v>
      </c>
    </row>
    <row r="727" spans="1:6">
      <c r="A727" s="3" t="str">
        <f t="shared" ca="1" si="56"/>
        <v/>
      </c>
      <c r="B727" s="2" t="str">
        <f t="shared" ca="1" si="57"/>
        <v/>
      </c>
      <c r="C727" s="2" t="str">
        <f ca="1">IF(E726="continue",SUM(B$8:B727),"")</f>
        <v/>
      </c>
      <c r="D727" s="1" t="str">
        <f t="shared" ca="1" si="58"/>
        <v/>
      </c>
      <c r="E727" s="13" t="str">
        <f t="shared" ca="1" si="59"/>
        <v>No ruin</v>
      </c>
      <c r="F727">
        <f t="shared" ca="1" si="60"/>
        <v>0</v>
      </c>
    </row>
    <row r="728" spans="1:6">
      <c r="A728" s="3" t="str">
        <f t="shared" ca="1" si="56"/>
        <v/>
      </c>
      <c r="B728" s="2" t="str">
        <f t="shared" ca="1" si="57"/>
        <v/>
      </c>
      <c r="C728" s="2" t="str">
        <f ca="1">IF(E727="continue",SUM(B$8:B728),"")</f>
        <v/>
      </c>
      <c r="D728" s="1" t="str">
        <f t="shared" ca="1" si="58"/>
        <v/>
      </c>
      <c r="E728" s="13" t="str">
        <f t="shared" ca="1" si="59"/>
        <v>No ruin</v>
      </c>
      <c r="F728">
        <f t="shared" ca="1" si="60"/>
        <v>0</v>
      </c>
    </row>
    <row r="729" spans="1:6">
      <c r="A729" s="3" t="str">
        <f t="shared" ca="1" si="56"/>
        <v/>
      </c>
      <c r="B729" s="2" t="str">
        <f t="shared" ca="1" si="57"/>
        <v/>
      </c>
      <c r="C729" s="2" t="str">
        <f ca="1">IF(E728="continue",SUM(B$8:B729),"")</f>
        <v/>
      </c>
      <c r="D729" s="1" t="str">
        <f t="shared" ca="1" si="58"/>
        <v/>
      </c>
      <c r="E729" s="13" t="str">
        <f t="shared" ca="1" si="59"/>
        <v>No ruin</v>
      </c>
      <c r="F729">
        <f t="shared" ca="1" si="60"/>
        <v>0</v>
      </c>
    </row>
    <row r="730" spans="1:6">
      <c r="A730" s="3" t="str">
        <f t="shared" ca="1" si="56"/>
        <v/>
      </c>
      <c r="B730" s="2" t="str">
        <f t="shared" ca="1" si="57"/>
        <v/>
      </c>
      <c r="C730" s="2" t="str">
        <f ca="1">IF(E729="continue",SUM(B$8:B730),"")</f>
        <v/>
      </c>
      <c r="D730" s="1" t="str">
        <f t="shared" ca="1" si="58"/>
        <v/>
      </c>
      <c r="E730" s="13" t="str">
        <f t="shared" ca="1" si="59"/>
        <v>No ruin</v>
      </c>
      <c r="F730">
        <f t="shared" ca="1" si="60"/>
        <v>0</v>
      </c>
    </row>
    <row r="731" spans="1:6">
      <c r="A731" s="3" t="str">
        <f t="shared" ca="1" si="56"/>
        <v/>
      </c>
      <c r="B731" s="2" t="str">
        <f t="shared" ca="1" si="57"/>
        <v/>
      </c>
      <c r="C731" s="2" t="str">
        <f ca="1">IF(E730="continue",SUM(B$8:B731),"")</f>
        <v/>
      </c>
      <c r="D731" s="1" t="str">
        <f t="shared" ca="1" si="58"/>
        <v/>
      </c>
      <c r="E731" s="13" t="str">
        <f t="shared" ca="1" si="59"/>
        <v>No ruin</v>
      </c>
      <c r="F731">
        <f t="shared" ca="1" si="60"/>
        <v>0</v>
      </c>
    </row>
    <row r="732" spans="1:6">
      <c r="A732" s="3" t="str">
        <f t="shared" ref="A732:A795" ca="1" si="61">IF(E731="continue",-LN(1-RAND())*O$3+A731,"")</f>
        <v/>
      </c>
      <c r="B732" s="2" t="str">
        <f t="shared" ref="B732:B795" ca="1" si="62">IF(E731="continue",-LN(1-RAND())*M$3,"")</f>
        <v/>
      </c>
      <c r="C732" s="2" t="str">
        <f ca="1">IF(E731="continue",SUM(B$8:B732),"")</f>
        <v/>
      </c>
      <c r="D732" s="1" t="str">
        <f t="shared" ref="D732:D795" ca="1" si="63">IF(E731="continue",(1+J$1)*(1/O$3)*M$3*A732,"")</f>
        <v/>
      </c>
      <c r="E732" s="13" t="str">
        <f t="shared" ref="E732:E795" ca="1" si="64">IF(A732&gt;G$1,"No ruin",IF(AND(A732&lt;=G$1,C732&gt;J$4+D732),"RUIN","continue"))</f>
        <v>No ruin</v>
      </c>
      <c r="F732">
        <f t="shared" ca="1" si="60"/>
        <v>0</v>
      </c>
    </row>
    <row r="733" spans="1:6">
      <c r="A733" s="3" t="str">
        <f t="shared" ca="1" si="61"/>
        <v/>
      </c>
      <c r="B733" s="2" t="str">
        <f t="shared" ca="1" si="62"/>
        <v/>
      </c>
      <c r="C733" s="2" t="str">
        <f ca="1">IF(E732="continue",SUM(B$8:B733),"")</f>
        <v/>
      </c>
      <c r="D733" s="1" t="str">
        <f t="shared" ca="1" si="63"/>
        <v/>
      </c>
      <c r="E733" s="13" t="str">
        <f t="shared" ca="1" si="64"/>
        <v>No ruin</v>
      </c>
      <c r="F733">
        <f t="shared" ca="1" si="60"/>
        <v>0</v>
      </c>
    </row>
    <row r="734" spans="1:6">
      <c r="A734" s="3" t="str">
        <f t="shared" ca="1" si="61"/>
        <v/>
      </c>
      <c r="B734" s="2" t="str">
        <f t="shared" ca="1" si="62"/>
        <v/>
      </c>
      <c r="C734" s="2" t="str">
        <f ca="1">IF(E733="continue",SUM(B$8:B734),"")</f>
        <v/>
      </c>
      <c r="D734" s="1" t="str">
        <f t="shared" ca="1" si="63"/>
        <v/>
      </c>
      <c r="E734" s="13" t="str">
        <f t="shared" ca="1" si="64"/>
        <v>No ruin</v>
      </c>
      <c r="F734">
        <f t="shared" ca="1" si="60"/>
        <v>0</v>
      </c>
    </row>
    <row r="735" spans="1:6">
      <c r="A735" s="3" t="str">
        <f t="shared" ca="1" si="61"/>
        <v/>
      </c>
      <c r="B735" s="2" t="str">
        <f t="shared" ca="1" si="62"/>
        <v/>
      </c>
      <c r="C735" s="2" t="str">
        <f ca="1">IF(E734="continue",SUM(B$8:B735),"")</f>
        <v/>
      </c>
      <c r="D735" s="1" t="str">
        <f t="shared" ca="1" si="63"/>
        <v/>
      </c>
      <c r="E735" s="13" t="str">
        <f t="shared" ca="1" si="64"/>
        <v>No ruin</v>
      </c>
      <c r="F735">
        <f t="shared" ca="1" si="60"/>
        <v>0</v>
      </c>
    </row>
    <row r="736" spans="1:6">
      <c r="A736" s="3" t="str">
        <f t="shared" ca="1" si="61"/>
        <v/>
      </c>
      <c r="B736" s="2" t="str">
        <f t="shared" ca="1" si="62"/>
        <v/>
      </c>
      <c r="C736" s="2" t="str">
        <f ca="1">IF(E735="continue",SUM(B$8:B736),"")</f>
        <v/>
      </c>
      <c r="D736" s="1" t="str">
        <f t="shared" ca="1" si="63"/>
        <v/>
      </c>
      <c r="E736" s="13" t="str">
        <f t="shared" ca="1" si="64"/>
        <v>No ruin</v>
      </c>
      <c r="F736">
        <f t="shared" ca="1" si="60"/>
        <v>0</v>
      </c>
    </row>
    <row r="737" spans="1:6">
      <c r="A737" s="3" t="str">
        <f t="shared" ca="1" si="61"/>
        <v/>
      </c>
      <c r="B737" s="2" t="str">
        <f t="shared" ca="1" si="62"/>
        <v/>
      </c>
      <c r="C737" s="2" t="str">
        <f ca="1">IF(E736="continue",SUM(B$8:B737),"")</f>
        <v/>
      </c>
      <c r="D737" s="1" t="str">
        <f t="shared" ca="1" si="63"/>
        <v/>
      </c>
      <c r="E737" s="13" t="str">
        <f t="shared" ca="1" si="64"/>
        <v>No ruin</v>
      </c>
      <c r="F737">
        <f t="shared" ca="1" si="60"/>
        <v>0</v>
      </c>
    </row>
    <row r="738" spans="1:6">
      <c r="A738" s="3" t="str">
        <f t="shared" ca="1" si="61"/>
        <v/>
      </c>
      <c r="B738" s="2" t="str">
        <f t="shared" ca="1" si="62"/>
        <v/>
      </c>
      <c r="C738" s="2" t="str">
        <f ca="1">IF(E737="continue",SUM(B$8:B738),"")</f>
        <v/>
      </c>
      <c r="D738" s="1" t="str">
        <f t="shared" ca="1" si="63"/>
        <v/>
      </c>
      <c r="E738" s="13" t="str">
        <f t="shared" ca="1" si="64"/>
        <v>No ruin</v>
      </c>
      <c r="F738">
        <f t="shared" ca="1" si="60"/>
        <v>0</v>
      </c>
    </row>
    <row r="739" spans="1:6">
      <c r="A739" s="3" t="str">
        <f t="shared" ca="1" si="61"/>
        <v/>
      </c>
      <c r="B739" s="2" t="str">
        <f t="shared" ca="1" si="62"/>
        <v/>
      </c>
      <c r="C739" s="2" t="str">
        <f ca="1">IF(E738="continue",SUM(B$8:B739),"")</f>
        <v/>
      </c>
      <c r="D739" s="1" t="str">
        <f t="shared" ca="1" si="63"/>
        <v/>
      </c>
      <c r="E739" s="13" t="str">
        <f t="shared" ca="1" si="64"/>
        <v>No ruin</v>
      </c>
      <c r="F739">
        <f t="shared" ca="1" si="60"/>
        <v>0</v>
      </c>
    </row>
    <row r="740" spans="1:6">
      <c r="A740" s="3" t="str">
        <f t="shared" ca="1" si="61"/>
        <v/>
      </c>
      <c r="B740" s="2" t="str">
        <f t="shared" ca="1" si="62"/>
        <v/>
      </c>
      <c r="C740" s="2" t="str">
        <f ca="1">IF(E739="continue",SUM(B$8:B740),"")</f>
        <v/>
      </c>
      <c r="D740" s="1" t="str">
        <f t="shared" ca="1" si="63"/>
        <v/>
      </c>
      <c r="E740" s="13" t="str">
        <f t="shared" ca="1" si="64"/>
        <v>No ruin</v>
      </c>
      <c r="F740">
        <f t="shared" ca="1" si="60"/>
        <v>0</v>
      </c>
    </row>
    <row r="741" spans="1:6">
      <c r="A741" s="3" t="str">
        <f t="shared" ca="1" si="61"/>
        <v/>
      </c>
      <c r="B741" s="2" t="str">
        <f t="shared" ca="1" si="62"/>
        <v/>
      </c>
      <c r="C741" s="2" t="str">
        <f ca="1">IF(E740="continue",SUM(B$8:B741),"")</f>
        <v/>
      </c>
      <c r="D741" s="1" t="str">
        <f t="shared" ca="1" si="63"/>
        <v/>
      </c>
      <c r="E741" s="13" t="str">
        <f t="shared" ca="1" si="64"/>
        <v>No ruin</v>
      </c>
      <c r="F741">
        <f t="shared" ca="1" si="60"/>
        <v>0</v>
      </c>
    </row>
    <row r="742" spans="1:6">
      <c r="A742" s="3" t="str">
        <f t="shared" ca="1" si="61"/>
        <v/>
      </c>
      <c r="B742" s="2" t="str">
        <f t="shared" ca="1" si="62"/>
        <v/>
      </c>
      <c r="C742" s="2" t="str">
        <f ca="1">IF(E741="continue",SUM(B$8:B742),"")</f>
        <v/>
      </c>
      <c r="D742" s="1" t="str">
        <f t="shared" ca="1" si="63"/>
        <v/>
      </c>
      <c r="E742" s="13" t="str">
        <f t="shared" ca="1" si="64"/>
        <v>No ruin</v>
      </c>
      <c r="F742">
        <f t="shared" ca="1" si="60"/>
        <v>0</v>
      </c>
    </row>
    <row r="743" spans="1:6">
      <c r="A743" s="3" t="str">
        <f t="shared" ca="1" si="61"/>
        <v/>
      </c>
      <c r="B743" s="2" t="str">
        <f t="shared" ca="1" si="62"/>
        <v/>
      </c>
      <c r="C743" s="2" t="str">
        <f ca="1">IF(E742="continue",SUM(B$8:B743),"")</f>
        <v/>
      </c>
      <c r="D743" s="1" t="str">
        <f t="shared" ca="1" si="63"/>
        <v/>
      </c>
      <c r="E743" s="13" t="str">
        <f t="shared" ca="1" si="64"/>
        <v>No ruin</v>
      </c>
      <c r="F743">
        <f t="shared" ca="1" si="60"/>
        <v>0</v>
      </c>
    </row>
    <row r="744" spans="1:6">
      <c r="A744" s="3" t="str">
        <f t="shared" ca="1" si="61"/>
        <v/>
      </c>
      <c r="B744" s="2" t="str">
        <f t="shared" ca="1" si="62"/>
        <v/>
      </c>
      <c r="C744" s="2" t="str">
        <f ca="1">IF(E743="continue",SUM(B$8:B744),"")</f>
        <v/>
      </c>
      <c r="D744" s="1" t="str">
        <f t="shared" ca="1" si="63"/>
        <v/>
      </c>
      <c r="E744" s="13" t="str">
        <f t="shared" ca="1" si="64"/>
        <v>No ruin</v>
      </c>
      <c r="F744">
        <f t="shared" ca="1" si="60"/>
        <v>0</v>
      </c>
    </row>
    <row r="745" spans="1:6">
      <c r="A745" s="3" t="str">
        <f t="shared" ca="1" si="61"/>
        <v/>
      </c>
      <c r="B745" s="2" t="str">
        <f t="shared" ca="1" si="62"/>
        <v/>
      </c>
      <c r="C745" s="2" t="str">
        <f ca="1">IF(E744="continue",SUM(B$8:B745),"")</f>
        <v/>
      </c>
      <c r="D745" s="1" t="str">
        <f t="shared" ca="1" si="63"/>
        <v/>
      </c>
      <c r="E745" s="13" t="str">
        <f t="shared" ca="1" si="64"/>
        <v>No ruin</v>
      </c>
      <c r="F745">
        <f t="shared" ca="1" si="60"/>
        <v>0</v>
      </c>
    </row>
    <row r="746" spans="1:6">
      <c r="A746" s="3" t="str">
        <f t="shared" ca="1" si="61"/>
        <v/>
      </c>
      <c r="B746" s="2" t="str">
        <f t="shared" ca="1" si="62"/>
        <v/>
      </c>
      <c r="C746" s="2" t="str">
        <f ca="1">IF(E745="continue",SUM(B$8:B746),"")</f>
        <v/>
      </c>
      <c r="D746" s="1" t="str">
        <f t="shared" ca="1" si="63"/>
        <v/>
      </c>
      <c r="E746" s="13" t="str">
        <f t="shared" ca="1" si="64"/>
        <v>No ruin</v>
      </c>
      <c r="F746">
        <f t="shared" ca="1" si="60"/>
        <v>0</v>
      </c>
    </row>
    <row r="747" spans="1:6">
      <c r="A747" s="3" t="str">
        <f t="shared" ca="1" si="61"/>
        <v/>
      </c>
      <c r="B747" s="2" t="str">
        <f t="shared" ca="1" si="62"/>
        <v/>
      </c>
      <c r="C747" s="2" t="str">
        <f ca="1">IF(E746="continue",SUM(B$8:B747),"")</f>
        <v/>
      </c>
      <c r="D747" s="1" t="str">
        <f t="shared" ca="1" si="63"/>
        <v/>
      </c>
      <c r="E747" s="13" t="str">
        <f t="shared" ca="1" si="64"/>
        <v>No ruin</v>
      </c>
      <c r="F747">
        <f t="shared" ca="1" si="60"/>
        <v>0</v>
      </c>
    </row>
    <row r="748" spans="1:6">
      <c r="A748" s="3" t="str">
        <f t="shared" ca="1" si="61"/>
        <v/>
      </c>
      <c r="B748" s="2" t="str">
        <f t="shared" ca="1" si="62"/>
        <v/>
      </c>
      <c r="C748" s="2" t="str">
        <f ca="1">IF(E747="continue",SUM(B$8:B748),"")</f>
        <v/>
      </c>
      <c r="D748" s="1" t="str">
        <f t="shared" ca="1" si="63"/>
        <v/>
      </c>
      <c r="E748" s="13" t="str">
        <f t="shared" ca="1" si="64"/>
        <v>No ruin</v>
      </c>
      <c r="F748">
        <f t="shared" ca="1" si="60"/>
        <v>0</v>
      </c>
    </row>
    <row r="749" spans="1:6">
      <c r="A749" s="3" t="str">
        <f t="shared" ca="1" si="61"/>
        <v/>
      </c>
      <c r="B749" s="2" t="str">
        <f t="shared" ca="1" si="62"/>
        <v/>
      </c>
      <c r="C749" s="2" t="str">
        <f ca="1">IF(E748="continue",SUM(B$8:B749),"")</f>
        <v/>
      </c>
      <c r="D749" s="1" t="str">
        <f t="shared" ca="1" si="63"/>
        <v/>
      </c>
      <c r="E749" s="13" t="str">
        <f t="shared" ca="1" si="64"/>
        <v>No ruin</v>
      </c>
      <c r="F749">
        <f t="shared" ca="1" si="60"/>
        <v>0</v>
      </c>
    </row>
    <row r="750" spans="1:6">
      <c r="A750" s="3" t="str">
        <f t="shared" ca="1" si="61"/>
        <v/>
      </c>
      <c r="B750" s="2" t="str">
        <f t="shared" ca="1" si="62"/>
        <v/>
      </c>
      <c r="C750" s="2" t="str">
        <f ca="1">IF(E749="continue",SUM(B$8:B750),"")</f>
        <v/>
      </c>
      <c r="D750" s="1" t="str">
        <f t="shared" ca="1" si="63"/>
        <v/>
      </c>
      <c r="E750" s="13" t="str">
        <f t="shared" ca="1" si="64"/>
        <v>No ruin</v>
      </c>
      <c r="F750">
        <f t="shared" ca="1" si="60"/>
        <v>0</v>
      </c>
    </row>
    <row r="751" spans="1:6">
      <c r="A751" s="3" t="str">
        <f t="shared" ca="1" si="61"/>
        <v/>
      </c>
      <c r="B751" s="2" t="str">
        <f t="shared" ca="1" si="62"/>
        <v/>
      </c>
      <c r="C751" s="2" t="str">
        <f ca="1">IF(E750="continue",SUM(B$8:B751),"")</f>
        <v/>
      </c>
      <c r="D751" s="1" t="str">
        <f t="shared" ca="1" si="63"/>
        <v/>
      </c>
      <c r="E751" s="13" t="str">
        <f t="shared" ca="1" si="64"/>
        <v>No ruin</v>
      </c>
      <c r="F751">
        <f t="shared" ca="1" si="60"/>
        <v>0</v>
      </c>
    </row>
    <row r="752" spans="1:6">
      <c r="A752" s="3" t="str">
        <f t="shared" ca="1" si="61"/>
        <v/>
      </c>
      <c r="B752" s="2" t="str">
        <f t="shared" ca="1" si="62"/>
        <v/>
      </c>
      <c r="C752" s="2" t="str">
        <f ca="1">IF(E751="continue",SUM(B$8:B752),"")</f>
        <v/>
      </c>
      <c r="D752" s="1" t="str">
        <f t="shared" ca="1" si="63"/>
        <v/>
      </c>
      <c r="E752" s="13" t="str">
        <f t="shared" ca="1" si="64"/>
        <v>No ruin</v>
      </c>
      <c r="F752">
        <f t="shared" ca="1" si="60"/>
        <v>0</v>
      </c>
    </row>
    <row r="753" spans="1:6">
      <c r="A753" s="3" t="str">
        <f t="shared" ca="1" si="61"/>
        <v/>
      </c>
      <c r="B753" s="2" t="str">
        <f t="shared" ca="1" si="62"/>
        <v/>
      </c>
      <c r="C753" s="2" t="str">
        <f ca="1">IF(E752="continue",SUM(B$8:B753),"")</f>
        <v/>
      </c>
      <c r="D753" s="1" t="str">
        <f t="shared" ca="1" si="63"/>
        <v/>
      </c>
      <c r="E753" s="13" t="str">
        <f t="shared" ca="1" si="64"/>
        <v>No ruin</v>
      </c>
      <c r="F753">
        <f t="shared" ca="1" si="60"/>
        <v>0</v>
      </c>
    </row>
    <row r="754" spans="1:6">
      <c r="A754" s="3" t="str">
        <f t="shared" ca="1" si="61"/>
        <v/>
      </c>
      <c r="B754" s="2" t="str">
        <f t="shared" ca="1" si="62"/>
        <v/>
      </c>
      <c r="C754" s="2" t="str">
        <f ca="1">IF(E753="continue",SUM(B$8:B754),"")</f>
        <v/>
      </c>
      <c r="D754" s="1" t="str">
        <f t="shared" ca="1" si="63"/>
        <v/>
      </c>
      <c r="E754" s="13" t="str">
        <f t="shared" ca="1" si="64"/>
        <v>No ruin</v>
      </c>
      <c r="F754">
        <f t="shared" ca="1" si="60"/>
        <v>0</v>
      </c>
    </row>
    <row r="755" spans="1:6">
      <c r="A755" s="3" t="str">
        <f t="shared" ca="1" si="61"/>
        <v/>
      </c>
      <c r="B755" s="2" t="str">
        <f t="shared" ca="1" si="62"/>
        <v/>
      </c>
      <c r="C755" s="2" t="str">
        <f ca="1">IF(E754="continue",SUM(B$8:B755),"")</f>
        <v/>
      </c>
      <c r="D755" s="1" t="str">
        <f t="shared" ca="1" si="63"/>
        <v/>
      </c>
      <c r="E755" s="13" t="str">
        <f t="shared" ca="1" si="64"/>
        <v>No ruin</v>
      </c>
      <c r="F755">
        <f t="shared" ca="1" si="60"/>
        <v>0</v>
      </c>
    </row>
    <row r="756" spans="1:6">
      <c r="A756" s="3" t="str">
        <f t="shared" ca="1" si="61"/>
        <v/>
      </c>
      <c r="B756" s="2" t="str">
        <f t="shared" ca="1" si="62"/>
        <v/>
      </c>
      <c r="C756" s="2" t="str">
        <f ca="1">IF(E755="continue",SUM(B$8:B756),"")</f>
        <v/>
      </c>
      <c r="D756" s="1" t="str">
        <f t="shared" ca="1" si="63"/>
        <v/>
      </c>
      <c r="E756" s="13" t="str">
        <f t="shared" ca="1" si="64"/>
        <v>No ruin</v>
      </c>
      <c r="F756">
        <f t="shared" ca="1" si="60"/>
        <v>0</v>
      </c>
    </row>
    <row r="757" spans="1:6">
      <c r="A757" s="3" t="str">
        <f t="shared" ca="1" si="61"/>
        <v/>
      </c>
      <c r="B757" s="2" t="str">
        <f t="shared" ca="1" si="62"/>
        <v/>
      </c>
      <c r="C757" s="2" t="str">
        <f ca="1">IF(E756="continue",SUM(B$8:B757),"")</f>
        <v/>
      </c>
      <c r="D757" s="1" t="str">
        <f t="shared" ca="1" si="63"/>
        <v/>
      </c>
      <c r="E757" s="13" t="str">
        <f t="shared" ca="1" si="64"/>
        <v>No ruin</v>
      </c>
      <c r="F757">
        <f t="shared" ca="1" si="60"/>
        <v>0</v>
      </c>
    </row>
    <row r="758" spans="1:6">
      <c r="A758" s="3" t="str">
        <f t="shared" ca="1" si="61"/>
        <v/>
      </c>
      <c r="B758" s="2" t="str">
        <f t="shared" ca="1" si="62"/>
        <v/>
      </c>
      <c r="C758" s="2" t="str">
        <f ca="1">IF(E757="continue",SUM(B$8:B758),"")</f>
        <v/>
      </c>
      <c r="D758" s="1" t="str">
        <f t="shared" ca="1" si="63"/>
        <v/>
      </c>
      <c r="E758" s="13" t="str">
        <f t="shared" ca="1" si="64"/>
        <v>No ruin</v>
      </c>
      <c r="F758">
        <f t="shared" ca="1" si="60"/>
        <v>0</v>
      </c>
    </row>
    <row r="759" spans="1:6">
      <c r="A759" s="3" t="str">
        <f t="shared" ca="1" si="61"/>
        <v/>
      </c>
      <c r="B759" s="2" t="str">
        <f t="shared" ca="1" si="62"/>
        <v/>
      </c>
      <c r="C759" s="2" t="str">
        <f ca="1">IF(E758="continue",SUM(B$8:B759),"")</f>
        <v/>
      </c>
      <c r="D759" s="1" t="str">
        <f t="shared" ca="1" si="63"/>
        <v/>
      </c>
      <c r="E759" s="13" t="str">
        <f t="shared" ca="1" si="64"/>
        <v>No ruin</v>
      </c>
      <c r="F759">
        <f t="shared" ca="1" si="60"/>
        <v>0</v>
      </c>
    </row>
    <row r="760" spans="1:6">
      <c r="A760" s="3" t="str">
        <f t="shared" ca="1" si="61"/>
        <v/>
      </c>
      <c r="B760" s="2" t="str">
        <f t="shared" ca="1" si="62"/>
        <v/>
      </c>
      <c r="C760" s="2" t="str">
        <f ca="1">IF(E759="continue",SUM(B$8:B760),"")</f>
        <v/>
      </c>
      <c r="D760" s="1" t="str">
        <f t="shared" ca="1" si="63"/>
        <v/>
      </c>
      <c r="E760" s="13" t="str">
        <f t="shared" ca="1" si="64"/>
        <v>No ruin</v>
      </c>
      <c r="F760">
        <f t="shared" ca="1" si="60"/>
        <v>0</v>
      </c>
    </row>
    <row r="761" spans="1:6">
      <c r="A761" s="3" t="str">
        <f t="shared" ca="1" si="61"/>
        <v/>
      </c>
      <c r="B761" s="2" t="str">
        <f t="shared" ca="1" si="62"/>
        <v/>
      </c>
      <c r="C761" s="2" t="str">
        <f ca="1">IF(E760="continue",SUM(B$8:B761),"")</f>
        <v/>
      </c>
      <c r="D761" s="1" t="str">
        <f t="shared" ca="1" si="63"/>
        <v/>
      </c>
      <c r="E761" s="13" t="str">
        <f t="shared" ca="1" si="64"/>
        <v>No ruin</v>
      </c>
      <c r="F761">
        <f t="shared" ca="1" si="60"/>
        <v>0</v>
      </c>
    </row>
    <row r="762" spans="1:6">
      <c r="A762" s="3" t="str">
        <f t="shared" ca="1" si="61"/>
        <v/>
      </c>
      <c r="B762" s="2" t="str">
        <f t="shared" ca="1" si="62"/>
        <v/>
      </c>
      <c r="C762" s="2" t="str">
        <f ca="1">IF(E761="continue",SUM(B$8:B762),"")</f>
        <v/>
      </c>
      <c r="D762" s="1" t="str">
        <f t="shared" ca="1" si="63"/>
        <v/>
      </c>
      <c r="E762" s="13" t="str">
        <f t="shared" ca="1" si="64"/>
        <v>No ruin</v>
      </c>
      <c r="F762">
        <f t="shared" ca="1" si="60"/>
        <v>0</v>
      </c>
    </row>
    <row r="763" spans="1:6">
      <c r="A763" s="3" t="str">
        <f t="shared" ca="1" si="61"/>
        <v/>
      </c>
      <c r="B763" s="2" t="str">
        <f t="shared" ca="1" si="62"/>
        <v/>
      </c>
      <c r="C763" s="2" t="str">
        <f ca="1">IF(E762="continue",SUM(B$8:B763),"")</f>
        <v/>
      </c>
      <c r="D763" s="1" t="str">
        <f t="shared" ca="1" si="63"/>
        <v/>
      </c>
      <c r="E763" s="13" t="str">
        <f t="shared" ca="1" si="64"/>
        <v>No ruin</v>
      </c>
      <c r="F763">
        <f t="shared" ca="1" si="60"/>
        <v>0</v>
      </c>
    </row>
    <row r="764" spans="1:6">
      <c r="A764" s="3" t="str">
        <f t="shared" ca="1" si="61"/>
        <v/>
      </c>
      <c r="B764" s="2" t="str">
        <f t="shared" ca="1" si="62"/>
        <v/>
      </c>
      <c r="C764" s="2" t="str">
        <f ca="1">IF(E763="continue",SUM(B$8:B764),"")</f>
        <v/>
      </c>
      <c r="D764" s="1" t="str">
        <f t="shared" ca="1" si="63"/>
        <v/>
      </c>
      <c r="E764" s="13" t="str">
        <f t="shared" ca="1" si="64"/>
        <v>No ruin</v>
      </c>
      <c r="F764">
        <f t="shared" ca="1" si="60"/>
        <v>0</v>
      </c>
    </row>
    <row r="765" spans="1:6">
      <c r="A765" s="3" t="str">
        <f t="shared" ca="1" si="61"/>
        <v/>
      </c>
      <c r="B765" s="2" t="str">
        <f t="shared" ca="1" si="62"/>
        <v/>
      </c>
      <c r="C765" s="2" t="str">
        <f ca="1">IF(E764="continue",SUM(B$8:B765),"")</f>
        <v/>
      </c>
      <c r="D765" s="1" t="str">
        <f t="shared" ca="1" si="63"/>
        <v/>
      </c>
      <c r="E765" s="13" t="str">
        <f t="shared" ca="1" si="64"/>
        <v>No ruin</v>
      </c>
      <c r="F765">
        <f t="shared" ca="1" si="60"/>
        <v>0</v>
      </c>
    </row>
    <row r="766" spans="1:6">
      <c r="A766" s="3" t="str">
        <f t="shared" ca="1" si="61"/>
        <v/>
      </c>
      <c r="B766" s="2" t="str">
        <f t="shared" ca="1" si="62"/>
        <v/>
      </c>
      <c r="C766" s="2" t="str">
        <f ca="1">IF(E765="continue",SUM(B$8:B766),"")</f>
        <v/>
      </c>
      <c r="D766" s="1" t="str">
        <f t="shared" ca="1" si="63"/>
        <v/>
      </c>
      <c r="E766" s="13" t="str">
        <f t="shared" ca="1" si="64"/>
        <v>No ruin</v>
      </c>
      <c r="F766">
        <f t="shared" ca="1" si="60"/>
        <v>0</v>
      </c>
    </row>
    <row r="767" spans="1:6">
      <c r="A767" s="3" t="str">
        <f t="shared" ca="1" si="61"/>
        <v/>
      </c>
      <c r="B767" s="2" t="str">
        <f t="shared" ca="1" si="62"/>
        <v/>
      </c>
      <c r="C767" s="2" t="str">
        <f ca="1">IF(E766="continue",SUM(B$8:B767),"")</f>
        <v/>
      </c>
      <c r="D767" s="1" t="str">
        <f t="shared" ca="1" si="63"/>
        <v/>
      </c>
      <c r="E767" s="13" t="str">
        <f t="shared" ca="1" si="64"/>
        <v>No ruin</v>
      </c>
      <c r="F767">
        <f t="shared" ca="1" si="60"/>
        <v>0</v>
      </c>
    </row>
    <row r="768" spans="1:6">
      <c r="A768" s="3" t="str">
        <f t="shared" ca="1" si="61"/>
        <v/>
      </c>
      <c r="B768" s="2" t="str">
        <f t="shared" ca="1" si="62"/>
        <v/>
      </c>
      <c r="C768" s="2" t="str">
        <f ca="1">IF(E767="continue",SUM(B$8:B768),"")</f>
        <v/>
      </c>
      <c r="D768" s="1" t="str">
        <f t="shared" ca="1" si="63"/>
        <v/>
      </c>
      <c r="E768" s="13" t="str">
        <f t="shared" ca="1" si="64"/>
        <v>No ruin</v>
      </c>
      <c r="F768">
        <f t="shared" ca="1" si="60"/>
        <v>0</v>
      </c>
    </row>
    <row r="769" spans="1:6">
      <c r="A769" s="3" t="str">
        <f t="shared" ca="1" si="61"/>
        <v/>
      </c>
      <c r="B769" s="2" t="str">
        <f t="shared" ca="1" si="62"/>
        <v/>
      </c>
      <c r="C769" s="2" t="str">
        <f ca="1">IF(E768="continue",SUM(B$8:B769),"")</f>
        <v/>
      </c>
      <c r="D769" s="1" t="str">
        <f t="shared" ca="1" si="63"/>
        <v/>
      </c>
      <c r="E769" s="13" t="str">
        <f t="shared" ca="1" si="64"/>
        <v>No ruin</v>
      </c>
      <c r="F769">
        <f t="shared" ca="1" si="60"/>
        <v>0</v>
      </c>
    </row>
    <row r="770" spans="1:6">
      <c r="A770" s="3" t="str">
        <f t="shared" ca="1" si="61"/>
        <v/>
      </c>
      <c r="B770" s="2" t="str">
        <f t="shared" ca="1" si="62"/>
        <v/>
      </c>
      <c r="C770" s="2" t="str">
        <f ca="1">IF(E769="continue",SUM(B$8:B770),"")</f>
        <v/>
      </c>
      <c r="D770" s="1" t="str">
        <f t="shared" ca="1" si="63"/>
        <v/>
      </c>
      <c r="E770" s="13" t="str">
        <f t="shared" ca="1" si="64"/>
        <v>No ruin</v>
      </c>
      <c r="F770">
        <f t="shared" ca="1" si="60"/>
        <v>0</v>
      </c>
    </row>
    <row r="771" spans="1:6">
      <c r="A771" s="3" t="str">
        <f t="shared" ca="1" si="61"/>
        <v/>
      </c>
      <c r="B771" s="2" t="str">
        <f t="shared" ca="1" si="62"/>
        <v/>
      </c>
      <c r="C771" s="2" t="str">
        <f ca="1">IF(E770="continue",SUM(B$8:B771),"")</f>
        <v/>
      </c>
      <c r="D771" s="1" t="str">
        <f t="shared" ca="1" si="63"/>
        <v/>
      </c>
      <c r="E771" s="13" t="str">
        <f t="shared" ca="1" si="64"/>
        <v>No ruin</v>
      </c>
      <c r="F771">
        <f t="shared" ca="1" si="60"/>
        <v>0</v>
      </c>
    </row>
    <row r="772" spans="1:6">
      <c r="A772" s="3" t="str">
        <f t="shared" ca="1" si="61"/>
        <v/>
      </c>
      <c r="B772" s="2" t="str">
        <f t="shared" ca="1" si="62"/>
        <v/>
      </c>
      <c r="C772" s="2" t="str">
        <f ca="1">IF(E771="continue",SUM(B$8:B772),"")</f>
        <v/>
      </c>
      <c r="D772" s="1" t="str">
        <f t="shared" ca="1" si="63"/>
        <v/>
      </c>
      <c r="E772" s="13" t="str">
        <f t="shared" ca="1" si="64"/>
        <v>No ruin</v>
      </c>
      <c r="F772">
        <f t="shared" ca="1" si="60"/>
        <v>0</v>
      </c>
    </row>
    <row r="773" spans="1:6">
      <c r="A773" s="3" t="str">
        <f t="shared" ca="1" si="61"/>
        <v/>
      </c>
      <c r="B773" s="2" t="str">
        <f t="shared" ca="1" si="62"/>
        <v/>
      </c>
      <c r="C773" s="2" t="str">
        <f ca="1">IF(E772="continue",SUM(B$8:B773),"")</f>
        <v/>
      </c>
      <c r="D773" s="1" t="str">
        <f t="shared" ca="1" si="63"/>
        <v/>
      </c>
      <c r="E773" s="13" t="str">
        <f t="shared" ca="1" si="64"/>
        <v>No ruin</v>
      </c>
      <c r="F773">
        <f t="shared" ca="1" si="60"/>
        <v>0</v>
      </c>
    </row>
    <row r="774" spans="1:6">
      <c r="A774" s="3" t="str">
        <f t="shared" ca="1" si="61"/>
        <v/>
      </c>
      <c r="B774" s="2" t="str">
        <f t="shared" ca="1" si="62"/>
        <v/>
      </c>
      <c r="C774" s="2" t="str">
        <f ca="1">IF(E773="continue",SUM(B$8:B774),"")</f>
        <v/>
      </c>
      <c r="D774" s="1" t="str">
        <f t="shared" ca="1" si="63"/>
        <v/>
      </c>
      <c r="E774" s="13" t="str">
        <f t="shared" ca="1" si="64"/>
        <v>No ruin</v>
      </c>
      <c r="F774">
        <f t="shared" ca="1" si="60"/>
        <v>0</v>
      </c>
    </row>
    <row r="775" spans="1:6">
      <c r="A775" s="3" t="str">
        <f t="shared" ca="1" si="61"/>
        <v/>
      </c>
      <c r="B775" s="2" t="str">
        <f t="shared" ca="1" si="62"/>
        <v/>
      </c>
      <c r="C775" s="2" t="str">
        <f ca="1">IF(E774="continue",SUM(B$8:B775),"")</f>
        <v/>
      </c>
      <c r="D775" s="1" t="str">
        <f t="shared" ca="1" si="63"/>
        <v/>
      </c>
      <c r="E775" s="13" t="str">
        <f t="shared" ca="1" si="64"/>
        <v>No ruin</v>
      </c>
      <c r="F775">
        <f t="shared" ca="1" si="60"/>
        <v>0</v>
      </c>
    </row>
    <row r="776" spans="1:6">
      <c r="A776" s="3" t="str">
        <f t="shared" ca="1" si="61"/>
        <v/>
      </c>
      <c r="B776" s="2" t="str">
        <f t="shared" ca="1" si="62"/>
        <v/>
      </c>
      <c r="C776" s="2" t="str">
        <f ca="1">IF(E775="continue",SUM(B$8:B776),"")</f>
        <v/>
      </c>
      <c r="D776" s="1" t="str">
        <f t="shared" ca="1" si="63"/>
        <v/>
      </c>
      <c r="E776" s="13" t="str">
        <f t="shared" ca="1" si="64"/>
        <v>No ruin</v>
      </c>
      <c r="F776">
        <f t="shared" ca="1" si="60"/>
        <v>0</v>
      </c>
    </row>
    <row r="777" spans="1:6">
      <c r="A777" s="3" t="str">
        <f t="shared" ca="1" si="61"/>
        <v/>
      </c>
      <c r="B777" s="2" t="str">
        <f t="shared" ca="1" si="62"/>
        <v/>
      </c>
      <c r="C777" s="2" t="str">
        <f ca="1">IF(E776="continue",SUM(B$8:B777),"")</f>
        <v/>
      </c>
      <c r="D777" s="1" t="str">
        <f t="shared" ca="1" si="63"/>
        <v/>
      </c>
      <c r="E777" s="13" t="str">
        <f t="shared" ca="1" si="64"/>
        <v>No ruin</v>
      </c>
      <c r="F777">
        <f t="shared" ca="1" si="60"/>
        <v>0</v>
      </c>
    </row>
    <row r="778" spans="1:6">
      <c r="A778" s="3" t="str">
        <f t="shared" ca="1" si="61"/>
        <v/>
      </c>
      <c r="B778" s="2" t="str">
        <f t="shared" ca="1" si="62"/>
        <v/>
      </c>
      <c r="C778" s="2" t="str">
        <f ca="1">IF(E777="continue",SUM(B$8:B778),"")</f>
        <v/>
      </c>
      <c r="D778" s="1" t="str">
        <f t="shared" ca="1" si="63"/>
        <v/>
      </c>
      <c r="E778" s="13" t="str">
        <f t="shared" ca="1" si="64"/>
        <v>No ruin</v>
      </c>
      <c r="F778">
        <f t="shared" ref="F778:F841" ca="1" si="65">IF(E778="RUIN",1,0)</f>
        <v>0</v>
      </c>
    </row>
    <row r="779" spans="1:6">
      <c r="A779" s="3" t="str">
        <f t="shared" ca="1" si="61"/>
        <v/>
      </c>
      <c r="B779" s="2" t="str">
        <f t="shared" ca="1" si="62"/>
        <v/>
      </c>
      <c r="C779" s="2" t="str">
        <f ca="1">IF(E778="continue",SUM(B$8:B779),"")</f>
        <v/>
      </c>
      <c r="D779" s="1" t="str">
        <f t="shared" ca="1" si="63"/>
        <v/>
      </c>
      <c r="E779" s="13" t="str">
        <f t="shared" ca="1" si="64"/>
        <v>No ruin</v>
      </c>
      <c r="F779">
        <f t="shared" ca="1" si="65"/>
        <v>0</v>
      </c>
    </row>
    <row r="780" spans="1:6">
      <c r="A780" s="3" t="str">
        <f t="shared" ca="1" si="61"/>
        <v/>
      </c>
      <c r="B780" s="2" t="str">
        <f t="shared" ca="1" si="62"/>
        <v/>
      </c>
      <c r="C780" s="2" t="str">
        <f ca="1">IF(E779="continue",SUM(B$8:B780),"")</f>
        <v/>
      </c>
      <c r="D780" s="1" t="str">
        <f t="shared" ca="1" si="63"/>
        <v/>
      </c>
      <c r="E780" s="13" t="str">
        <f t="shared" ca="1" si="64"/>
        <v>No ruin</v>
      </c>
      <c r="F780">
        <f t="shared" ca="1" si="65"/>
        <v>0</v>
      </c>
    </row>
    <row r="781" spans="1:6">
      <c r="A781" s="3" t="str">
        <f t="shared" ca="1" si="61"/>
        <v/>
      </c>
      <c r="B781" s="2" t="str">
        <f t="shared" ca="1" si="62"/>
        <v/>
      </c>
      <c r="C781" s="2" t="str">
        <f ca="1">IF(E780="continue",SUM(B$8:B781),"")</f>
        <v/>
      </c>
      <c r="D781" s="1" t="str">
        <f t="shared" ca="1" si="63"/>
        <v/>
      </c>
      <c r="E781" s="13" t="str">
        <f t="shared" ca="1" si="64"/>
        <v>No ruin</v>
      </c>
      <c r="F781">
        <f t="shared" ca="1" si="65"/>
        <v>0</v>
      </c>
    </row>
    <row r="782" spans="1:6">
      <c r="A782" s="3" t="str">
        <f t="shared" ca="1" si="61"/>
        <v/>
      </c>
      <c r="B782" s="2" t="str">
        <f t="shared" ca="1" si="62"/>
        <v/>
      </c>
      <c r="C782" s="2" t="str">
        <f ca="1">IF(E781="continue",SUM(B$8:B782),"")</f>
        <v/>
      </c>
      <c r="D782" s="1" t="str">
        <f t="shared" ca="1" si="63"/>
        <v/>
      </c>
      <c r="E782" s="13" t="str">
        <f t="shared" ca="1" si="64"/>
        <v>No ruin</v>
      </c>
      <c r="F782">
        <f t="shared" ca="1" si="65"/>
        <v>0</v>
      </c>
    </row>
    <row r="783" spans="1:6">
      <c r="A783" s="3" t="str">
        <f t="shared" ca="1" si="61"/>
        <v/>
      </c>
      <c r="B783" s="2" t="str">
        <f t="shared" ca="1" si="62"/>
        <v/>
      </c>
      <c r="C783" s="2" t="str">
        <f ca="1">IF(E782="continue",SUM(B$8:B783),"")</f>
        <v/>
      </c>
      <c r="D783" s="1" t="str">
        <f t="shared" ca="1" si="63"/>
        <v/>
      </c>
      <c r="E783" s="13" t="str">
        <f t="shared" ca="1" si="64"/>
        <v>No ruin</v>
      </c>
      <c r="F783">
        <f t="shared" ca="1" si="65"/>
        <v>0</v>
      </c>
    </row>
    <row r="784" spans="1:6">
      <c r="A784" s="3" t="str">
        <f t="shared" ca="1" si="61"/>
        <v/>
      </c>
      <c r="B784" s="2" t="str">
        <f t="shared" ca="1" si="62"/>
        <v/>
      </c>
      <c r="C784" s="2" t="str">
        <f ca="1">IF(E783="continue",SUM(B$8:B784),"")</f>
        <v/>
      </c>
      <c r="D784" s="1" t="str">
        <f t="shared" ca="1" si="63"/>
        <v/>
      </c>
      <c r="E784" s="13" t="str">
        <f t="shared" ca="1" si="64"/>
        <v>No ruin</v>
      </c>
      <c r="F784">
        <f t="shared" ca="1" si="65"/>
        <v>0</v>
      </c>
    </row>
    <row r="785" spans="1:6">
      <c r="A785" s="3" t="str">
        <f t="shared" ca="1" si="61"/>
        <v/>
      </c>
      <c r="B785" s="2" t="str">
        <f t="shared" ca="1" si="62"/>
        <v/>
      </c>
      <c r="C785" s="2" t="str">
        <f ca="1">IF(E784="continue",SUM(B$8:B785),"")</f>
        <v/>
      </c>
      <c r="D785" s="1" t="str">
        <f t="shared" ca="1" si="63"/>
        <v/>
      </c>
      <c r="E785" s="13" t="str">
        <f t="shared" ca="1" si="64"/>
        <v>No ruin</v>
      </c>
      <c r="F785">
        <f t="shared" ca="1" si="65"/>
        <v>0</v>
      </c>
    </row>
    <row r="786" spans="1:6">
      <c r="A786" s="3" t="str">
        <f t="shared" ca="1" si="61"/>
        <v/>
      </c>
      <c r="B786" s="2" t="str">
        <f t="shared" ca="1" si="62"/>
        <v/>
      </c>
      <c r="C786" s="2" t="str">
        <f ca="1">IF(E785="continue",SUM(B$8:B786),"")</f>
        <v/>
      </c>
      <c r="D786" s="1" t="str">
        <f t="shared" ca="1" si="63"/>
        <v/>
      </c>
      <c r="E786" s="13" t="str">
        <f t="shared" ca="1" si="64"/>
        <v>No ruin</v>
      </c>
      <c r="F786">
        <f t="shared" ca="1" si="65"/>
        <v>0</v>
      </c>
    </row>
    <row r="787" spans="1:6">
      <c r="A787" s="3" t="str">
        <f t="shared" ca="1" si="61"/>
        <v/>
      </c>
      <c r="B787" s="2" t="str">
        <f t="shared" ca="1" si="62"/>
        <v/>
      </c>
      <c r="C787" s="2" t="str">
        <f ca="1">IF(E786="continue",SUM(B$8:B787),"")</f>
        <v/>
      </c>
      <c r="D787" s="1" t="str">
        <f t="shared" ca="1" si="63"/>
        <v/>
      </c>
      <c r="E787" s="13" t="str">
        <f t="shared" ca="1" si="64"/>
        <v>No ruin</v>
      </c>
      <c r="F787">
        <f t="shared" ca="1" si="65"/>
        <v>0</v>
      </c>
    </row>
    <row r="788" spans="1:6">
      <c r="A788" s="3" t="str">
        <f t="shared" ca="1" si="61"/>
        <v/>
      </c>
      <c r="B788" s="2" t="str">
        <f t="shared" ca="1" si="62"/>
        <v/>
      </c>
      <c r="C788" s="2" t="str">
        <f ca="1">IF(E787="continue",SUM(B$8:B788),"")</f>
        <v/>
      </c>
      <c r="D788" s="1" t="str">
        <f t="shared" ca="1" si="63"/>
        <v/>
      </c>
      <c r="E788" s="13" t="str">
        <f t="shared" ca="1" si="64"/>
        <v>No ruin</v>
      </c>
      <c r="F788">
        <f t="shared" ca="1" si="65"/>
        <v>0</v>
      </c>
    </row>
    <row r="789" spans="1:6">
      <c r="A789" s="3" t="str">
        <f t="shared" ca="1" si="61"/>
        <v/>
      </c>
      <c r="B789" s="2" t="str">
        <f t="shared" ca="1" si="62"/>
        <v/>
      </c>
      <c r="C789" s="2" t="str">
        <f ca="1">IF(E788="continue",SUM(B$8:B789),"")</f>
        <v/>
      </c>
      <c r="D789" s="1" t="str">
        <f t="shared" ca="1" si="63"/>
        <v/>
      </c>
      <c r="E789" s="13" t="str">
        <f t="shared" ca="1" si="64"/>
        <v>No ruin</v>
      </c>
      <c r="F789">
        <f t="shared" ca="1" si="65"/>
        <v>0</v>
      </c>
    </row>
    <row r="790" spans="1:6">
      <c r="A790" s="3" t="str">
        <f t="shared" ca="1" si="61"/>
        <v/>
      </c>
      <c r="B790" s="2" t="str">
        <f t="shared" ca="1" si="62"/>
        <v/>
      </c>
      <c r="C790" s="2" t="str">
        <f ca="1">IF(E789="continue",SUM(B$8:B790),"")</f>
        <v/>
      </c>
      <c r="D790" s="1" t="str">
        <f t="shared" ca="1" si="63"/>
        <v/>
      </c>
      <c r="E790" s="13" t="str">
        <f t="shared" ca="1" si="64"/>
        <v>No ruin</v>
      </c>
      <c r="F790">
        <f t="shared" ca="1" si="65"/>
        <v>0</v>
      </c>
    </row>
    <row r="791" spans="1:6">
      <c r="A791" s="3" t="str">
        <f t="shared" ca="1" si="61"/>
        <v/>
      </c>
      <c r="B791" s="2" t="str">
        <f t="shared" ca="1" si="62"/>
        <v/>
      </c>
      <c r="C791" s="2" t="str">
        <f ca="1">IF(E790="continue",SUM(B$8:B791),"")</f>
        <v/>
      </c>
      <c r="D791" s="1" t="str">
        <f t="shared" ca="1" si="63"/>
        <v/>
      </c>
      <c r="E791" s="13" t="str">
        <f t="shared" ca="1" si="64"/>
        <v>No ruin</v>
      </c>
      <c r="F791">
        <f t="shared" ca="1" si="65"/>
        <v>0</v>
      </c>
    </row>
    <row r="792" spans="1:6">
      <c r="A792" s="3" t="str">
        <f t="shared" ca="1" si="61"/>
        <v/>
      </c>
      <c r="B792" s="2" t="str">
        <f t="shared" ca="1" si="62"/>
        <v/>
      </c>
      <c r="C792" s="2" t="str">
        <f ca="1">IF(E791="continue",SUM(B$8:B792),"")</f>
        <v/>
      </c>
      <c r="D792" s="1" t="str">
        <f t="shared" ca="1" si="63"/>
        <v/>
      </c>
      <c r="E792" s="13" t="str">
        <f t="shared" ca="1" si="64"/>
        <v>No ruin</v>
      </c>
      <c r="F792">
        <f t="shared" ca="1" si="65"/>
        <v>0</v>
      </c>
    </row>
    <row r="793" spans="1:6">
      <c r="A793" s="3" t="str">
        <f t="shared" ca="1" si="61"/>
        <v/>
      </c>
      <c r="B793" s="2" t="str">
        <f t="shared" ca="1" si="62"/>
        <v/>
      </c>
      <c r="C793" s="2" t="str">
        <f ca="1">IF(E792="continue",SUM(B$8:B793),"")</f>
        <v/>
      </c>
      <c r="D793" s="1" t="str">
        <f t="shared" ca="1" si="63"/>
        <v/>
      </c>
      <c r="E793" s="13" t="str">
        <f t="shared" ca="1" si="64"/>
        <v>No ruin</v>
      </c>
      <c r="F793">
        <f t="shared" ca="1" si="65"/>
        <v>0</v>
      </c>
    </row>
    <row r="794" spans="1:6">
      <c r="A794" s="3" t="str">
        <f t="shared" ca="1" si="61"/>
        <v/>
      </c>
      <c r="B794" s="2" t="str">
        <f t="shared" ca="1" si="62"/>
        <v/>
      </c>
      <c r="C794" s="2" t="str">
        <f ca="1">IF(E793="continue",SUM(B$8:B794),"")</f>
        <v/>
      </c>
      <c r="D794" s="1" t="str">
        <f t="shared" ca="1" si="63"/>
        <v/>
      </c>
      <c r="E794" s="13" t="str">
        <f t="shared" ca="1" si="64"/>
        <v>No ruin</v>
      </c>
      <c r="F794">
        <f t="shared" ca="1" si="65"/>
        <v>0</v>
      </c>
    </row>
    <row r="795" spans="1:6">
      <c r="A795" s="3" t="str">
        <f t="shared" ca="1" si="61"/>
        <v/>
      </c>
      <c r="B795" s="2" t="str">
        <f t="shared" ca="1" si="62"/>
        <v/>
      </c>
      <c r="C795" s="2" t="str">
        <f ca="1">IF(E794="continue",SUM(B$8:B795),"")</f>
        <v/>
      </c>
      <c r="D795" s="1" t="str">
        <f t="shared" ca="1" si="63"/>
        <v/>
      </c>
      <c r="E795" s="13" t="str">
        <f t="shared" ca="1" si="64"/>
        <v>No ruin</v>
      </c>
      <c r="F795">
        <f t="shared" ca="1" si="65"/>
        <v>0</v>
      </c>
    </row>
    <row r="796" spans="1:6">
      <c r="A796" s="3" t="str">
        <f t="shared" ref="A796:A859" ca="1" si="66">IF(E795="continue",-LN(1-RAND())*O$3+A795,"")</f>
        <v/>
      </c>
      <c r="B796" s="2" t="str">
        <f t="shared" ref="B796:B859" ca="1" si="67">IF(E795="continue",-LN(1-RAND())*M$3,"")</f>
        <v/>
      </c>
      <c r="C796" s="2" t="str">
        <f ca="1">IF(E795="continue",SUM(B$8:B796),"")</f>
        <v/>
      </c>
      <c r="D796" s="1" t="str">
        <f t="shared" ref="D796:D859" ca="1" si="68">IF(E795="continue",(1+J$1)*(1/O$3)*M$3*A796,"")</f>
        <v/>
      </c>
      <c r="E796" s="13" t="str">
        <f t="shared" ref="E796:E859" ca="1" si="69">IF(A796&gt;G$1,"No ruin",IF(AND(A796&lt;=G$1,C796&gt;J$4+D796),"RUIN","continue"))</f>
        <v>No ruin</v>
      </c>
      <c r="F796">
        <f t="shared" ca="1" si="65"/>
        <v>0</v>
      </c>
    </row>
    <row r="797" spans="1:6">
      <c r="A797" s="3" t="str">
        <f t="shared" ca="1" si="66"/>
        <v/>
      </c>
      <c r="B797" s="2" t="str">
        <f t="shared" ca="1" si="67"/>
        <v/>
      </c>
      <c r="C797" s="2" t="str">
        <f ca="1">IF(E796="continue",SUM(B$8:B797),"")</f>
        <v/>
      </c>
      <c r="D797" s="1" t="str">
        <f t="shared" ca="1" si="68"/>
        <v/>
      </c>
      <c r="E797" s="13" t="str">
        <f t="shared" ca="1" si="69"/>
        <v>No ruin</v>
      </c>
      <c r="F797">
        <f t="shared" ca="1" si="65"/>
        <v>0</v>
      </c>
    </row>
    <row r="798" spans="1:6">
      <c r="A798" s="3" t="str">
        <f t="shared" ca="1" si="66"/>
        <v/>
      </c>
      <c r="B798" s="2" t="str">
        <f t="shared" ca="1" si="67"/>
        <v/>
      </c>
      <c r="C798" s="2" t="str">
        <f ca="1">IF(E797="continue",SUM(B$8:B798),"")</f>
        <v/>
      </c>
      <c r="D798" s="1" t="str">
        <f t="shared" ca="1" si="68"/>
        <v/>
      </c>
      <c r="E798" s="13" t="str">
        <f t="shared" ca="1" si="69"/>
        <v>No ruin</v>
      </c>
      <c r="F798">
        <f t="shared" ca="1" si="65"/>
        <v>0</v>
      </c>
    </row>
    <row r="799" spans="1:6">
      <c r="A799" s="3" t="str">
        <f t="shared" ca="1" si="66"/>
        <v/>
      </c>
      <c r="B799" s="2" t="str">
        <f t="shared" ca="1" si="67"/>
        <v/>
      </c>
      <c r="C799" s="2" t="str">
        <f ca="1">IF(E798="continue",SUM(B$8:B799),"")</f>
        <v/>
      </c>
      <c r="D799" s="1" t="str">
        <f t="shared" ca="1" si="68"/>
        <v/>
      </c>
      <c r="E799" s="13" t="str">
        <f t="shared" ca="1" si="69"/>
        <v>No ruin</v>
      </c>
      <c r="F799">
        <f t="shared" ca="1" si="65"/>
        <v>0</v>
      </c>
    </row>
    <row r="800" spans="1:6">
      <c r="A800" s="3" t="str">
        <f t="shared" ca="1" si="66"/>
        <v/>
      </c>
      <c r="B800" s="2" t="str">
        <f t="shared" ca="1" si="67"/>
        <v/>
      </c>
      <c r="C800" s="2" t="str">
        <f ca="1">IF(E799="continue",SUM(B$8:B800),"")</f>
        <v/>
      </c>
      <c r="D800" s="1" t="str">
        <f t="shared" ca="1" si="68"/>
        <v/>
      </c>
      <c r="E800" s="13" t="str">
        <f t="shared" ca="1" si="69"/>
        <v>No ruin</v>
      </c>
      <c r="F800">
        <f t="shared" ca="1" si="65"/>
        <v>0</v>
      </c>
    </row>
    <row r="801" spans="1:6">
      <c r="A801" s="3" t="str">
        <f t="shared" ca="1" si="66"/>
        <v/>
      </c>
      <c r="B801" s="2" t="str">
        <f t="shared" ca="1" si="67"/>
        <v/>
      </c>
      <c r="C801" s="2" t="str">
        <f ca="1">IF(E800="continue",SUM(B$8:B801),"")</f>
        <v/>
      </c>
      <c r="D801" s="1" t="str">
        <f t="shared" ca="1" si="68"/>
        <v/>
      </c>
      <c r="E801" s="13" t="str">
        <f t="shared" ca="1" si="69"/>
        <v>No ruin</v>
      </c>
      <c r="F801">
        <f t="shared" ca="1" si="65"/>
        <v>0</v>
      </c>
    </row>
    <row r="802" spans="1:6">
      <c r="A802" s="3" t="str">
        <f t="shared" ca="1" si="66"/>
        <v/>
      </c>
      <c r="B802" s="2" t="str">
        <f t="shared" ca="1" si="67"/>
        <v/>
      </c>
      <c r="C802" s="2" t="str">
        <f ca="1">IF(E801="continue",SUM(B$8:B802),"")</f>
        <v/>
      </c>
      <c r="D802" s="1" t="str">
        <f t="shared" ca="1" si="68"/>
        <v/>
      </c>
      <c r="E802" s="13" t="str">
        <f t="shared" ca="1" si="69"/>
        <v>No ruin</v>
      </c>
      <c r="F802">
        <f t="shared" ca="1" si="65"/>
        <v>0</v>
      </c>
    </row>
    <row r="803" spans="1:6">
      <c r="A803" s="3" t="str">
        <f t="shared" ca="1" si="66"/>
        <v/>
      </c>
      <c r="B803" s="2" t="str">
        <f t="shared" ca="1" si="67"/>
        <v/>
      </c>
      <c r="C803" s="2" t="str">
        <f ca="1">IF(E802="continue",SUM(B$8:B803),"")</f>
        <v/>
      </c>
      <c r="D803" s="1" t="str">
        <f t="shared" ca="1" si="68"/>
        <v/>
      </c>
      <c r="E803" s="13" t="str">
        <f t="shared" ca="1" si="69"/>
        <v>No ruin</v>
      </c>
      <c r="F803">
        <f t="shared" ca="1" si="65"/>
        <v>0</v>
      </c>
    </row>
    <row r="804" spans="1:6">
      <c r="A804" s="3" t="str">
        <f t="shared" ca="1" si="66"/>
        <v/>
      </c>
      <c r="B804" s="2" t="str">
        <f t="shared" ca="1" si="67"/>
        <v/>
      </c>
      <c r="C804" s="2" t="str">
        <f ca="1">IF(E803="continue",SUM(B$8:B804),"")</f>
        <v/>
      </c>
      <c r="D804" s="1" t="str">
        <f t="shared" ca="1" si="68"/>
        <v/>
      </c>
      <c r="E804" s="13" t="str">
        <f t="shared" ca="1" si="69"/>
        <v>No ruin</v>
      </c>
      <c r="F804">
        <f t="shared" ca="1" si="65"/>
        <v>0</v>
      </c>
    </row>
    <row r="805" spans="1:6">
      <c r="A805" s="3" t="str">
        <f t="shared" ca="1" si="66"/>
        <v/>
      </c>
      <c r="B805" s="2" t="str">
        <f t="shared" ca="1" si="67"/>
        <v/>
      </c>
      <c r="C805" s="2" t="str">
        <f ca="1">IF(E804="continue",SUM(B$8:B805),"")</f>
        <v/>
      </c>
      <c r="D805" s="1" t="str">
        <f t="shared" ca="1" si="68"/>
        <v/>
      </c>
      <c r="E805" s="13" t="str">
        <f t="shared" ca="1" si="69"/>
        <v>No ruin</v>
      </c>
      <c r="F805">
        <f t="shared" ca="1" si="65"/>
        <v>0</v>
      </c>
    </row>
    <row r="806" spans="1:6">
      <c r="A806" s="3" t="str">
        <f t="shared" ca="1" si="66"/>
        <v/>
      </c>
      <c r="B806" s="2" t="str">
        <f t="shared" ca="1" si="67"/>
        <v/>
      </c>
      <c r="C806" s="2" t="str">
        <f ca="1">IF(E805="continue",SUM(B$8:B806),"")</f>
        <v/>
      </c>
      <c r="D806" s="1" t="str">
        <f t="shared" ca="1" si="68"/>
        <v/>
      </c>
      <c r="E806" s="13" t="str">
        <f t="shared" ca="1" si="69"/>
        <v>No ruin</v>
      </c>
      <c r="F806">
        <f t="shared" ca="1" si="65"/>
        <v>0</v>
      </c>
    </row>
    <row r="807" spans="1:6">
      <c r="A807" s="3" t="str">
        <f t="shared" ca="1" si="66"/>
        <v/>
      </c>
      <c r="B807" s="2" t="str">
        <f t="shared" ca="1" si="67"/>
        <v/>
      </c>
      <c r="C807" s="2" t="str">
        <f ca="1">IF(E806="continue",SUM(B$8:B807),"")</f>
        <v/>
      </c>
      <c r="D807" s="1" t="str">
        <f t="shared" ca="1" si="68"/>
        <v/>
      </c>
      <c r="E807" s="13" t="str">
        <f t="shared" ca="1" si="69"/>
        <v>No ruin</v>
      </c>
      <c r="F807">
        <f t="shared" ca="1" si="65"/>
        <v>0</v>
      </c>
    </row>
    <row r="808" spans="1:6">
      <c r="A808" s="3" t="str">
        <f t="shared" ca="1" si="66"/>
        <v/>
      </c>
      <c r="B808" s="2" t="str">
        <f t="shared" ca="1" si="67"/>
        <v/>
      </c>
      <c r="C808" s="2" t="str">
        <f ca="1">IF(E807="continue",SUM(B$8:B808),"")</f>
        <v/>
      </c>
      <c r="D808" s="1" t="str">
        <f t="shared" ca="1" si="68"/>
        <v/>
      </c>
      <c r="E808" s="13" t="str">
        <f t="shared" ca="1" si="69"/>
        <v>No ruin</v>
      </c>
      <c r="F808">
        <f t="shared" ca="1" si="65"/>
        <v>0</v>
      </c>
    </row>
    <row r="809" spans="1:6">
      <c r="A809" s="3" t="str">
        <f t="shared" ca="1" si="66"/>
        <v/>
      </c>
      <c r="B809" s="2" t="str">
        <f t="shared" ca="1" si="67"/>
        <v/>
      </c>
      <c r="C809" s="2" t="str">
        <f ca="1">IF(E808="continue",SUM(B$8:B809),"")</f>
        <v/>
      </c>
      <c r="D809" s="1" t="str">
        <f t="shared" ca="1" si="68"/>
        <v/>
      </c>
      <c r="E809" s="13" t="str">
        <f t="shared" ca="1" si="69"/>
        <v>No ruin</v>
      </c>
      <c r="F809">
        <f t="shared" ca="1" si="65"/>
        <v>0</v>
      </c>
    </row>
    <row r="810" spans="1:6">
      <c r="A810" s="3" t="str">
        <f t="shared" ca="1" si="66"/>
        <v/>
      </c>
      <c r="B810" s="2" t="str">
        <f t="shared" ca="1" si="67"/>
        <v/>
      </c>
      <c r="C810" s="2" t="str">
        <f ca="1">IF(E809="continue",SUM(B$8:B810),"")</f>
        <v/>
      </c>
      <c r="D810" s="1" t="str">
        <f t="shared" ca="1" si="68"/>
        <v/>
      </c>
      <c r="E810" s="13" t="str">
        <f t="shared" ca="1" si="69"/>
        <v>No ruin</v>
      </c>
      <c r="F810">
        <f t="shared" ca="1" si="65"/>
        <v>0</v>
      </c>
    </row>
    <row r="811" spans="1:6">
      <c r="A811" s="3" t="str">
        <f t="shared" ca="1" si="66"/>
        <v/>
      </c>
      <c r="B811" s="2" t="str">
        <f t="shared" ca="1" si="67"/>
        <v/>
      </c>
      <c r="C811" s="2" t="str">
        <f ca="1">IF(E810="continue",SUM(B$8:B811),"")</f>
        <v/>
      </c>
      <c r="D811" s="1" t="str">
        <f t="shared" ca="1" si="68"/>
        <v/>
      </c>
      <c r="E811" s="13" t="str">
        <f t="shared" ca="1" si="69"/>
        <v>No ruin</v>
      </c>
      <c r="F811">
        <f t="shared" ca="1" si="65"/>
        <v>0</v>
      </c>
    </row>
    <row r="812" spans="1:6">
      <c r="A812" s="3" t="str">
        <f t="shared" ca="1" si="66"/>
        <v/>
      </c>
      <c r="B812" s="2" t="str">
        <f t="shared" ca="1" si="67"/>
        <v/>
      </c>
      <c r="C812" s="2" t="str">
        <f ca="1">IF(E811="continue",SUM(B$8:B812),"")</f>
        <v/>
      </c>
      <c r="D812" s="1" t="str">
        <f t="shared" ca="1" si="68"/>
        <v/>
      </c>
      <c r="E812" s="13" t="str">
        <f t="shared" ca="1" si="69"/>
        <v>No ruin</v>
      </c>
      <c r="F812">
        <f t="shared" ca="1" si="65"/>
        <v>0</v>
      </c>
    </row>
    <row r="813" spans="1:6">
      <c r="A813" s="3" t="str">
        <f t="shared" ca="1" si="66"/>
        <v/>
      </c>
      <c r="B813" s="2" t="str">
        <f t="shared" ca="1" si="67"/>
        <v/>
      </c>
      <c r="C813" s="2" t="str">
        <f ca="1">IF(E812="continue",SUM(B$8:B813),"")</f>
        <v/>
      </c>
      <c r="D813" s="1" t="str">
        <f t="shared" ca="1" si="68"/>
        <v/>
      </c>
      <c r="E813" s="13" t="str">
        <f t="shared" ca="1" si="69"/>
        <v>No ruin</v>
      </c>
      <c r="F813">
        <f t="shared" ca="1" si="65"/>
        <v>0</v>
      </c>
    </row>
    <row r="814" spans="1:6">
      <c r="A814" s="3" t="str">
        <f t="shared" ca="1" si="66"/>
        <v/>
      </c>
      <c r="B814" s="2" t="str">
        <f t="shared" ca="1" si="67"/>
        <v/>
      </c>
      <c r="C814" s="2" t="str">
        <f ca="1">IF(E813="continue",SUM(B$8:B814),"")</f>
        <v/>
      </c>
      <c r="D814" s="1" t="str">
        <f t="shared" ca="1" si="68"/>
        <v/>
      </c>
      <c r="E814" s="13" t="str">
        <f t="shared" ca="1" si="69"/>
        <v>No ruin</v>
      </c>
      <c r="F814">
        <f t="shared" ca="1" si="65"/>
        <v>0</v>
      </c>
    </row>
    <row r="815" spans="1:6">
      <c r="A815" s="3" t="str">
        <f t="shared" ca="1" si="66"/>
        <v/>
      </c>
      <c r="B815" s="2" t="str">
        <f t="shared" ca="1" si="67"/>
        <v/>
      </c>
      <c r="C815" s="2" t="str">
        <f ca="1">IF(E814="continue",SUM(B$8:B815),"")</f>
        <v/>
      </c>
      <c r="D815" s="1" t="str">
        <f t="shared" ca="1" si="68"/>
        <v/>
      </c>
      <c r="E815" s="13" t="str">
        <f t="shared" ca="1" si="69"/>
        <v>No ruin</v>
      </c>
      <c r="F815">
        <f t="shared" ca="1" si="65"/>
        <v>0</v>
      </c>
    </row>
    <row r="816" spans="1:6">
      <c r="A816" s="3" t="str">
        <f t="shared" ca="1" si="66"/>
        <v/>
      </c>
      <c r="B816" s="2" t="str">
        <f t="shared" ca="1" si="67"/>
        <v/>
      </c>
      <c r="C816" s="2" t="str">
        <f ca="1">IF(E815="continue",SUM(B$8:B816),"")</f>
        <v/>
      </c>
      <c r="D816" s="1" t="str">
        <f t="shared" ca="1" si="68"/>
        <v/>
      </c>
      <c r="E816" s="13" t="str">
        <f t="shared" ca="1" si="69"/>
        <v>No ruin</v>
      </c>
      <c r="F816">
        <f t="shared" ca="1" si="65"/>
        <v>0</v>
      </c>
    </row>
    <row r="817" spans="1:6">
      <c r="A817" s="3" t="str">
        <f t="shared" ca="1" si="66"/>
        <v/>
      </c>
      <c r="B817" s="2" t="str">
        <f t="shared" ca="1" si="67"/>
        <v/>
      </c>
      <c r="C817" s="2" t="str">
        <f ca="1">IF(E816="continue",SUM(B$8:B817),"")</f>
        <v/>
      </c>
      <c r="D817" s="1" t="str">
        <f t="shared" ca="1" si="68"/>
        <v/>
      </c>
      <c r="E817" s="13" t="str">
        <f t="shared" ca="1" si="69"/>
        <v>No ruin</v>
      </c>
      <c r="F817">
        <f t="shared" ca="1" si="65"/>
        <v>0</v>
      </c>
    </row>
    <row r="818" spans="1:6">
      <c r="A818" s="3" t="str">
        <f t="shared" ca="1" si="66"/>
        <v/>
      </c>
      <c r="B818" s="2" t="str">
        <f t="shared" ca="1" si="67"/>
        <v/>
      </c>
      <c r="C818" s="2" t="str">
        <f ca="1">IF(E817="continue",SUM(B$8:B818),"")</f>
        <v/>
      </c>
      <c r="D818" s="1" t="str">
        <f t="shared" ca="1" si="68"/>
        <v/>
      </c>
      <c r="E818" s="13" t="str">
        <f t="shared" ca="1" si="69"/>
        <v>No ruin</v>
      </c>
      <c r="F818">
        <f t="shared" ca="1" si="65"/>
        <v>0</v>
      </c>
    </row>
    <row r="819" spans="1:6">
      <c r="A819" s="3" t="str">
        <f t="shared" ca="1" si="66"/>
        <v/>
      </c>
      <c r="B819" s="2" t="str">
        <f t="shared" ca="1" si="67"/>
        <v/>
      </c>
      <c r="C819" s="2" t="str">
        <f ca="1">IF(E818="continue",SUM(B$8:B819),"")</f>
        <v/>
      </c>
      <c r="D819" s="1" t="str">
        <f t="shared" ca="1" si="68"/>
        <v/>
      </c>
      <c r="E819" s="13" t="str">
        <f t="shared" ca="1" si="69"/>
        <v>No ruin</v>
      </c>
      <c r="F819">
        <f t="shared" ca="1" si="65"/>
        <v>0</v>
      </c>
    </row>
    <row r="820" spans="1:6">
      <c r="A820" s="3" t="str">
        <f t="shared" ca="1" si="66"/>
        <v/>
      </c>
      <c r="B820" s="2" t="str">
        <f t="shared" ca="1" si="67"/>
        <v/>
      </c>
      <c r="C820" s="2" t="str">
        <f ca="1">IF(E819="continue",SUM(B$8:B820),"")</f>
        <v/>
      </c>
      <c r="D820" s="1" t="str">
        <f t="shared" ca="1" si="68"/>
        <v/>
      </c>
      <c r="E820" s="13" t="str">
        <f t="shared" ca="1" si="69"/>
        <v>No ruin</v>
      </c>
      <c r="F820">
        <f t="shared" ca="1" si="65"/>
        <v>0</v>
      </c>
    </row>
    <row r="821" spans="1:6">
      <c r="A821" s="3" t="str">
        <f t="shared" ca="1" si="66"/>
        <v/>
      </c>
      <c r="B821" s="2" t="str">
        <f t="shared" ca="1" si="67"/>
        <v/>
      </c>
      <c r="C821" s="2" t="str">
        <f ca="1">IF(E820="continue",SUM(B$8:B821),"")</f>
        <v/>
      </c>
      <c r="D821" s="1" t="str">
        <f t="shared" ca="1" si="68"/>
        <v/>
      </c>
      <c r="E821" s="13" t="str">
        <f t="shared" ca="1" si="69"/>
        <v>No ruin</v>
      </c>
      <c r="F821">
        <f t="shared" ca="1" si="65"/>
        <v>0</v>
      </c>
    </row>
    <row r="822" spans="1:6">
      <c r="A822" s="3" t="str">
        <f t="shared" ca="1" si="66"/>
        <v/>
      </c>
      <c r="B822" s="2" t="str">
        <f t="shared" ca="1" si="67"/>
        <v/>
      </c>
      <c r="C822" s="2" t="str">
        <f ca="1">IF(E821="continue",SUM(B$8:B822),"")</f>
        <v/>
      </c>
      <c r="D822" s="1" t="str">
        <f t="shared" ca="1" si="68"/>
        <v/>
      </c>
      <c r="E822" s="13" t="str">
        <f t="shared" ca="1" si="69"/>
        <v>No ruin</v>
      </c>
      <c r="F822">
        <f t="shared" ca="1" si="65"/>
        <v>0</v>
      </c>
    </row>
    <row r="823" spans="1:6">
      <c r="A823" s="3" t="str">
        <f t="shared" ca="1" si="66"/>
        <v/>
      </c>
      <c r="B823" s="2" t="str">
        <f t="shared" ca="1" si="67"/>
        <v/>
      </c>
      <c r="C823" s="2" t="str">
        <f ca="1">IF(E822="continue",SUM(B$8:B823),"")</f>
        <v/>
      </c>
      <c r="D823" s="1" t="str">
        <f t="shared" ca="1" si="68"/>
        <v/>
      </c>
      <c r="E823" s="13" t="str">
        <f t="shared" ca="1" si="69"/>
        <v>No ruin</v>
      </c>
      <c r="F823">
        <f t="shared" ca="1" si="65"/>
        <v>0</v>
      </c>
    </row>
    <row r="824" spans="1:6">
      <c r="A824" s="3" t="str">
        <f t="shared" ca="1" si="66"/>
        <v/>
      </c>
      <c r="B824" s="2" t="str">
        <f t="shared" ca="1" si="67"/>
        <v/>
      </c>
      <c r="C824" s="2" t="str">
        <f ca="1">IF(E823="continue",SUM(B$8:B824),"")</f>
        <v/>
      </c>
      <c r="D824" s="1" t="str">
        <f t="shared" ca="1" si="68"/>
        <v/>
      </c>
      <c r="E824" s="13" t="str">
        <f t="shared" ca="1" si="69"/>
        <v>No ruin</v>
      </c>
      <c r="F824">
        <f t="shared" ca="1" si="65"/>
        <v>0</v>
      </c>
    </row>
    <row r="825" spans="1:6">
      <c r="A825" s="3" t="str">
        <f t="shared" ca="1" si="66"/>
        <v/>
      </c>
      <c r="B825" s="2" t="str">
        <f t="shared" ca="1" si="67"/>
        <v/>
      </c>
      <c r="C825" s="2" t="str">
        <f ca="1">IF(E824="continue",SUM(B$8:B825),"")</f>
        <v/>
      </c>
      <c r="D825" s="1" t="str">
        <f t="shared" ca="1" si="68"/>
        <v/>
      </c>
      <c r="E825" s="13" t="str">
        <f t="shared" ca="1" si="69"/>
        <v>No ruin</v>
      </c>
      <c r="F825">
        <f t="shared" ca="1" si="65"/>
        <v>0</v>
      </c>
    </row>
    <row r="826" spans="1:6">
      <c r="A826" s="3" t="str">
        <f t="shared" ca="1" si="66"/>
        <v/>
      </c>
      <c r="B826" s="2" t="str">
        <f t="shared" ca="1" si="67"/>
        <v/>
      </c>
      <c r="C826" s="2" t="str">
        <f ca="1">IF(E825="continue",SUM(B$8:B826),"")</f>
        <v/>
      </c>
      <c r="D826" s="1" t="str">
        <f t="shared" ca="1" si="68"/>
        <v/>
      </c>
      <c r="E826" s="13" t="str">
        <f t="shared" ca="1" si="69"/>
        <v>No ruin</v>
      </c>
      <c r="F826">
        <f t="shared" ca="1" si="65"/>
        <v>0</v>
      </c>
    </row>
    <row r="827" spans="1:6">
      <c r="A827" s="3" t="str">
        <f t="shared" ca="1" si="66"/>
        <v/>
      </c>
      <c r="B827" s="2" t="str">
        <f t="shared" ca="1" si="67"/>
        <v/>
      </c>
      <c r="C827" s="2" t="str">
        <f ca="1">IF(E826="continue",SUM(B$8:B827),"")</f>
        <v/>
      </c>
      <c r="D827" s="1" t="str">
        <f t="shared" ca="1" si="68"/>
        <v/>
      </c>
      <c r="E827" s="13" t="str">
        <f t="shared" ca="1" si="69"/>
        <v>No ruin</v>
      </c>
      <c r="F827">
        <f t="shared" ca="1" si="65"/>
        <v>0</v>
      </c>
    </row>
    <row r="828" spans="1:6">
      <c r="A828" s="3" t="str">
        <f t="shared" ca="1" si="66"/>
        <v/>
      </c>
      <c r="B828" s="2" t="str">
        <f t="shared" ca="1" si="67"/>
        <v/>
      </c>
      <c r="C828" s="2" t="str">
        <f ca="1">IF(E827="continue",SUM(B$8:B828),"")</f>
        <v/>
      </c>
      <c r="D828" s="1" t="str">
        <f t="shared" ca="1" si="68"/>
        <v/>
      </c>
      <c r="E828" s="13" t="str">
        <f t="shared" ca="1" si="69"/>
        <v>No ruin</v>
      </c>
      <c r="F828">
        <f t="shared" ca="1" si="65"/>
        <v>0</v>
      </c>
    </row>
    <row r="829" spans="1:6">
      <c r="A829" s="3" t="str">
        <f t="shared" ca="1" si="66"/>
        <v/>
      </c>
      <c r="B829" s="2" t="str">
        <f t="shared" ca="1" si="67"/>
        <v/>
      </c>
      <c r="C829" s="2" t="str">
        <f ca="1">IF(E828="continue",SUM(B$8:B829),"")</f>
        <v/>
      </c>
      <c r="D829" s="1" t="str">
        <f t="shared" ca="1" si="68"/>
        <v/>
      </c>
      <c r="E829" s="13" t="str">
        <f t="shared" ca="1" si="69"/>
        <v>No ruin</v>
      </c>
      <c r="F829">
        <f t="shared" ca="1" si="65"/>
        <v>0</v>
      </c>
    </row>
    <row r="830" spans="1:6">
      <c r="A830" s="3" t="str">
        <f t="shared" ca="1" si="66"/>
        <v/>
      </c>
      <c r="B830" s="2" t="str">
        <f t="shared" ca="1" si="67"/>
        <v/>
      </c>
      <c r="C830" s="2" t="str">
        <f ca="1">IF(E829="continue",SUM(B$8:B830),"")</f>
        <v/>
      </c>
      <c r="D830" s="1" t="str">
        <f t="shared" ca="1" si="68"/>
        <v/>
      </c>
      <c r="E830" s="13" t="str">
        <f t="shared" ca="1" si="69"/>
        <v>No ruin</v>
      </c>
      <c r="F830">
        <f t="shared" ca="1" si="65"/>
        <v>0</v>
      </c>
    </row>
    <row r="831" spans="1:6">
      <c r="A831" s="3" t="str">
        <f t="shared" ca="1" si="66"/>
        <v/>
      </c>
      <c r="B831" s="2" t="str">
        <f t="shared" ca="1" si="67"/>
        <v/>
      </c>
      <c r="C831" s="2" t="str">
        <f ca="1">IF(E830="continue",SUM(B$8:B831),"")</f>
        <v/>
      </c>
      <c r="D831" s="1" t="str">
        <f t="shared" ca="1" si="68"/>
        <v/>
      </c>
      <c r="E831" s="13" t="str">
        <f t="shared" ca="1" si="69"/>
        <v>No ruin</v>
      </c>
      <c r="F831">
        <f t="shared" ca="1" si="65"/>
        <v>0</v>
      </c>
    </row>
    <row r="832" spans="1:6">
      <c r="A832" s="3" t="str">
        <f t="shared" ca="1" si="66"/>
        <v/>
      </c>
      <c r="B832" s="2" t="str">
        <f t="shared" ca="1" si="67"/>
        <v/>
      </c>
      <c r="C832" s="2" t="str">
        <f ca="1">IF(E831="continue",SUM(B$8:B832),"")</f>
        <v/>
      </c>
      <c r="D832" s="1" t="str">
        <f t="shared" ca="1" si="68"/>
        <v/>
      </c>
      <c r="E832" s="13" t="str">
        <f t="shared" ca="1" si="69"/>
        <v>No ruin</v>
      </c>
      <c r="F832">
        <f t="shared" ca="1" si="65"/>
        <v>0</v>
      </c>
    </row>
    <row r="833" spans="1:6">
      <c r="A833" s="3" t="str">
        <f t="shared" ca="1" si="66"/>
        <v/>
      </c>
      <c r="B833" s="2" t="str">
        <f t="shared" ca="1" si="67"/>
        <v/>
      </c>
      <c r="C833" s="2" t="str">
        <f ca="1">IF(E832="continue",SUM(B$8:B833),"")</f>
        <v/>
      </c>
      <c r="D833" s="1" t="str">
        <f t="shared" ca="1" si="68"/>
        <v/>
      </c>
      <c r="E833" s="13" t="str">
        <f t="shared" ca="1" si="69"/>
        <v>No ruin</v>
      </c>
      <c r="F833">
        <f t="shared" ca="1" si="65"/>
        <v>0</v>
      </c>
    </row>
    <row r="834" spans="1:6">
      <c r="A834" s="3" t="str">
        <f t="shared" ca="1" si="66"/>
        <v/>
      </c>
      <c r="B834" s="2" t="str">
        <f t="shared" ca="1" si="67"/>
        <v/>
      </c>
      <c r="C834" s="2" t="str">
        <f ca="1">IF(E833="continue",SUM(B$8:B834),"")</f>
        <v/>
      </c>
      <c r="D834" s="1" t="str">
        <f t="shared" ca="1" si="68"/>
        <v/>
      </c>
      <c r="E834" s="13" t="str">
        <f t="shared" ca="1" si="69"/>
        <v>No ruin</v>
      </c>
      <c r="F834">
        <f t="shared" ca="1" si="65"/>
        <v>0</v>
      </c>
    </row>
    <row r="835" spans="1:6">
      <c r="A835" s="3" t="str">
        <f t="shared" ca="1" si="66"/>
        <v/>
      </c>
      <c r="B835" s="2" t="str">
        <f t="shared" ca="1" si="67"/>
        <v/>
      </c>
      <c r="C835" s="2" t="str">
        <f ca="1">IF(E834="continue",SUM(B$8:B835),"")</f>
        <v/>
      </c>
      <c r="D835" s="1" t="str">
        <f t="shared" ca="1" si="68"/>
        <v/>
      </c>
      <c r="E835" s="13" t="str">
        <f t="shared" ca="1" si="69"/>
        <v>No ruin</v>
      </c>
      <c r="F835">
        <f t="shared" ca="1" si="65"/>
        <v>0</v>
      </c>
    </row>
    <row r="836" spans="1:6">
      <c r="A836" s="3" t="str">
        <f t="shared" ca="1" si="66"/>
        <v/>
      </c>
      <c r="B836" s="2" t="str">
        <f t="shared" ca="1" si="67"/>
        <v/>
      </c>
      <c r="C836" s="2" t="str">
        <f ca="1">IF(E835="continue",SUM(B$8:B836),"")</f>
        <v/>
      </c>
      <c r="D836" s="1" t="str">
        <f t="shared" ca="1" si="68"/>
        <v/>
      </c>
      <c r="E836" s="13" t="str">
        <f t="shared" ca="1" si="69"/>
        <v>No ruin</v>
      </c>
      <c r="F836">
        <f t="shared" ca="1" si="65"/>
        <v>0</v>
      </c>
    </row>
    <row r="837" spans="1:6">
      <c r="A837" s="3" t="str">
        <f t="shared" ca="1" si="66"/>
        <v/>
      </c>
      <c r="B837" s="2" t="str">
        <f t="shared" ca="1" si="67"/>
        <v/>
      </c>
      <c r="C837" s="2" t="str">
        <f ca="1">IF(E836="continue",SUM(B$8:B837),"")</f>
        <v/>
      </c>
      <c r="D837" s="1" t="str">
        <f t="shared" ca="1" si="68"/>
        <v/>
      </c>
      <c r="E837" s="13" t="str">
        <f t="shared" ca="1" si="69"/>
        <v>No ruin</v>
      </c>
      <c r="F837">
        <f t="shared" ca="1" si="65"/>
        <v>0</v>
      </c>
    </row>
    <row r="838" spans="1:6">
      <c r="A838" s="3" t="str">
        <f t="shared" ca="1" si="66"/>
        <v/>
      </c>
      <c r="B838" s="2" t="str">
        <f t="shared" ca="1" si="67"/>
        <v/>
      </c>
      <c r="C838" s="2" t="str">
        <f ca="1">IF(E837="continue",SUM(B$8:B838),"")</f>
        <v/>
      </c>
      <c r="D838" s="1" t="str">
        <f t="shared" ca="1" si="68"/>
        <v/>
      </c>
      <c r="E838" s="13" t="str">
        <f t="shared" ca="1" si="69"/>
        <v>No ruin</v>
      </c>
      <c r="F838">
        <f t="shared" ca="1" si="65"/>
        <v>0</v>
      </c>
    </row>
    <row r="839" spans="1:6">
      <c r="A839" s="3" t="str">
        <f t="shared" ca="1" si="66"/>
        <v/>
      </c>
      <c r="B839" s="2" t="str">
        <f t="shared" ca="1" si="67"/>
        <v/>
      </c>
      <c r="C839" s="2" t="str">
        <f ca="1">IF(E838="continue",SUM(B$8:B839),"")</f>
        <v/>
      </c>
      <c r="D839" s="1" t="str">
        <f t="shared" ca="1" si="68"/>
        <v/>
      </c>
      <c r="E839" s="13" t="str">
        <f t="shared" ca="1" si="69"/>
        <v>No ruin</v>
      </c>
      <c r="F839">
        <f t="shared" ca="1" si="65"/>
        <v>0</v>
      </c>
    </row>
    <row r="840" spans="1:6">
      <c r="A840" s="3" t="str">
        <f t="shared" ca="1" si="66"/>
        <v/>
      </c>
      <c r="B840" s="2" t="str">
        <f t="shared" ca="1" si="67"/>
        <v/>
      </c>
      <c r="C840" s="2" t="str">
        <f ca="1">IF(E839="continue",SUM(B$8:B840),"")</f>
        <v/>
      </c>
      <c r="D840" s="1" t="str">
        <f t="shared" ca="1" si="68"/>
        <v/>
      </c>
      <c r="E840" s="13" t="str">
        <f t="shared" ca="1" si="69"/>
        <v>No ruin</v>
      </c>
      <c r="F840">
        <f t="shared" ca="1" si="65"/>
        <v>0</v>
      </c>
    </row>
    <row r="841" spans="1:6">
      <c r="A841" s="3" t="str">
        <f t="shared" ca="1" si="66"/>
        <v/>
      </c>
      <c r="B841" s="2" t="str">
        <f t="shared" ca="1" si="67"/>
        <v/>
      </c>
      <c r="C841" s="2" t="str">
        <f ca="1">IF(E840="continue",SUM(B$8:B841),"")</f>
        <v/>
      </c>
      <c r="D841" s="1" t="str">
        <f t="shared" ca="1" si="68"/>
        <v/>
      </c>
      <c r="E841" s="13" t="str">
        <f t="shared" ca="1" si="69"/>
        <v>No ruin</v>
      </c>
      <c r="F841">
        <f t="shared" ca="1" si="65"/>
        <v>0</v>
      </c>
    </row>
    <row r="842" spans="1:6">
      <c r="A842" s="3" t="str">
        <f t="shared" ca="1" si="66"/>
        <v/>
      </c>
      <c r="B842" s="2" t="str">
        <f t="shared" ca="1" si="67"/>
        <v/>
      </c>
      <c r="C842" s="2" t="str">
        <f ca="1">IF(E841="continue",SUM(B$8:B842),"")</f>
        <v/>
      </c>
      <c r="D842" s="1" t="str">
        <f t="shared" ca="1" si="68"/>
        <v/>
      </c>
      <c r="E842" s="13" t="str">
        <f t="shared" ca="1" si="69"/>
        <v>No ruin</v>
      </c>
      <c r="F842">
        <f t="shared" ref="F842:F905" ca="1" si="70">IF(E842="RUIN",1,0)</f>
        <v>0</v>
      </c>
    </row>
    <row r="843" spans="1:6">
      <c r="A843" s="3" t="str">
        <f t="shared" ca="1" si="66"/>
        <v/>
      </c>
      <c r="B843" s="2" t="str">
        <f t="shared" ca="1" si="67"/>
        <v/>
      </c>
      <c r="C843" s="2" t="str">
        <f ca="1">IF(E842="continue",SUM(B$8:B843),"")</f>
        <v/>
      </c>
      <c r="D843" s="1" t="str">
        <f t="shared" ca="1" si="68"/>
        <v/>
      </c>
      <c r="E843" s="13" t="str">
        <f t="shared" ca="1" si="69"/>
        <v>No ruin</v>
      </c>
      <c r="F843">
        <f t="shared" ca="1" si="70"/>
        <v>0</v>
      </c>
    </row>
    <row r="844" spans="1:6">
      <c r="A844" s="3" t="str">
        <f t="shared" ca="1" si="66"/>
        <v/>
      </c>
      <c r="B844" s="2" t="str">
        <f t="shared" ca="1" si="67"/>
        <v/>
      </c>
      <c r="C844" s="2" t="str">
        <f ca="1">IF(E843="continue",SUM(B$8:B844),"")</f>
        <v/>
      </c>
      <c r="D844" s="1" t="str">
        <f t="shared" ca="1" si="68"/>
        <v/>
      </c>
      <c r="E844" s="13" t="str">
        <f t="shared" ca="1" si="69"/>
        <v>No ruin</v>
      </c>
      <c r="F844">
        <f t="shared" ca="1" si="70"/>
        <v>0</v>
      </c>
    </row>
    <row r="845" spans="1:6">
      <c r="A845" s="3" t="str">
        <f t="shared" ca="1" si="66"/>
        <v/>
      </c>
      <c r="B845" s="2" t="str">
        <f t="shared" ca="1" si="67"/>
        <v/>
      </c>
      <c r="C845" s="2" t="str">
        <f ca="1">IF(E844="continue",SUM(B$8:B845),"")</f>
        <v/>
      </c>
      <c r="D845" s="1" t="str">
        <f t="shared" ca="1" si="68"/>
        <v/>
      </c>
      <c r="E845" s="13" t="str">
        <f t="shared" ca="1" si="69"/>
        <v>No ruin</v>
      </c>
      <c r="F845">
        <f t="shared" ca="1" si="70"/>
        <v>0</v>
      </c>
    </row>
    <row r="846" spans="1:6">
      <c r="A846" s="3" t="str">
        <f t="shared" ca="1" si="66"/>
        <v/>
      </c>
      <c r="B846" s="2" t="str">
        <f t="shared" ca="1" si="67"/>
        <v/>
      </c>
      <c r="C846" s="2" t="str">
        <f ca="1">IF(E845="continue",SUM(B$8:B846),"")</f>
        <v/>
      </c>
      <c r="D846" s="1" t="str">
        <f t="shared" ca="1" si="68"/>
        <v/>
      </c>
      <c r="E846" s="13" t="str">
        <f t="shared" ca="1" si="69"/>
        <v>No ruin</v>
      </c>
      <c r="F846">
        <f t="shared" ca="1" si="70"/>
        <v>0</v>
      </c>
    </row>
    <row r="847" spans="1:6">
      <c r="A847" s="3" t="str">
        <f t="shared" ca="1" si="66"/>
        <v/>
      </c>
      <c r="B847" s="2" t="str">
        <f t="shared" ca="1" si="67"/>
        <v/>
      </c>
      <c r="C847" s="2" t="str">
        <f ca="1">IF(E846="continue",SUM(B$8:B847),"")</f>
        <v/>
      </c>
      <c r="D847" s="1" t="str">
        <f t="shared" ca="1" si="68"/>
        <v/>
      </c>
      <c r="E847" s="13" t="str">
        <f t="shared" ca="1" si="69"/>
        <v>No ruin</v>
      </c>
      <c r="F847">
        <f t="shared" ca="1" si="70"/>
        <v>0</v>
      </c>
    </row>
    <row r="848" spans="1:6">
      <c r="A848" s="3" t="str">
        <f t="shared" ca="1" si="66"/>
        <v/>
      </c>
      <c r="B848" s="2" t="str">
        <f t="shared" ca="1" si="67"/>
        <v/>
      </c>
      <c r="C848" s="2" t="str">
        <f ca="1">IF(E847="continue",SUM(B$8:B848),"")</f>
        <v/>
      </c>
      <c r="D848" s="1" t="str">
        <f t="shared" ca="1" si="68"/>
        <v/>
      </c>
      <c r="E848" s="13" t="str">
        <f t="shared" ca="1" si="69"/>
        <v>No ruin</v>
      </c>
      <c r="F848">
        <f t="shared" ca="1" si="70"/>
        <v>0</v>
      </c>
    </row>
    <row r="849" spans="1:6">
      <c r="A849" s="3" t="str">
        <f t="shared" ca="1" si="66"/>
        <v/>
      </c>
      <c r="B849" s="2" t="str">
        <f t="shared" ca="1" si="67"/>
        <v/>
      </c>
      <c r="C849" s="2" t="str">
        <f ca="1">IF(E848="continue",SUM(B$8:B849),"")</f>
        <v/>
      </c>
      <c r="D849" s="1" t="str">
        <f t="shared" ca="1" si="68"/>
        <v/>
      </c>
      <c r="E849" s="13" t="str">
        <f t="shared" ca="1" si="69"/>
        <v>No ruin</v>
      </c>
      <c r="F849">
        <f t="shared" ca="1" si="70"/>
        <v>0</v>
      </c>
    </row>
    <row r="850" spans="1:6">
      <c r="A850" s="3" t="str">
        <f t="shared" ca="1" si="66"/>
        <v/>
      </c>
      <c r="B850" s="2" t="str">
        <f t="shared" ca="1" si="67"/>
        <v/>
      </c>
      <c r="C850" s="2" t="str">
        <f ca="1">IF(E849="continue",SUM(B$8:B850),"")</f>
        <v/>
      </c>
      <c r="D850" s="1" t="str">
        <f t="shared" ca="1" si="68"/>
        <v/>
      </c>
      <c r="E850" s="13" t="str">
        <f t="shared" ca="1" si="69"/>
        <v>No ruin</v>
      </c>
      <c r="F850">
        <f t="shared" ca="1" si="70"/>
        <v>0</v>
      </c>
    </row>
    <row r="851" spans="1:6">
      <c r="A851" s="3" t="str">
        <f t="shared" ca="1" si="66"/>
        <v/>
      </c>
      <c r="B851" s="2" t="str">
        <f t="shared" ca="1" si="67"/>
        <v/>
      </c>
      <c r="C851" s="2" t="str">
        <f ca="1">IF(E850="continue",SUM(B$8:B851),"")</f>
        <v/>
      </c>
      <c r="D851" s="1" t="str">
        <f t="shared" ca="1" si="68"/>
        <v/>
      </c>
      <c r="E851" s="13" t="str">
        <f t="shared" ca="1" si="69"/>
        <v>No ruin</v>
      </c>
      <c r="F851">
        <f t="shared" ca="1" si="70"/>
        <v>0</v>
      </c>
    </row>
    <row r="852" spans="1:6">
      <c r="A852" s="3" t="str">
        <f t="shared" ca="1" si="66"/>
        <v/>
      </c>
      <c r="B852" s="2" t="str">
        <f t="shared" ca="1" si="67"/>
        <v/>
      </c>
      <c r="C852" s="2" t="str">
        <f ca="1">IF(E851="continue",SUM(B$8:B852),"")</f>
        <v/>
      </c>
      <c r="D852" s="1" t="str">
        <f t="shared" ca="1" si="68"/>
        <v/>
      </c>
      <c r="E852" s="13" t="str">
        <f t="shared" ca="1" si="69"/>
        <v>No ruin</v>
      </c>
      <c r="F852">
        <f t="shared" ca="1" si="70"/>
        <v>0</v>
      </c>
    </row>
    <row r="853" spans="1:6">
      <c r="A853" s="3" t="str">
        <f t="shared" ca="1" si="66"/>
        <v/>
      </c>
      <c r="B853" s="2" t="str">
        <f t="shared" ca="1" si="67"/>
        <v/>
      </c>
      <c r="C853" s="2" t="str">
        <f ca="1">IF(E852="continue",SUM(B$8:B853),"")</f>
        <v/>
      </c>
      <c r="D853" s="1" t="str">
        <f t="shared" ca="1" si="68"/>
        <v/>
      </c>
      <c r="E853" s="13" t="str">
        <f t="shared" ca="1" si="69"/>
        <v>No ruin</v>
      </c>
      <c r="F853">
        <f t="shared" ca="1" si="70"/>
        <v>0</v>
      </c>
    </row>
    <row r="854" spans="1:6">
      <c r="A854" s="3" t="str">
        <f t="shared" ca="1" si="66"/>
        <v/>
      </c>
      <c r="B854" s="2" t="str">
        <f t="shared" ca="1" si="67"/>
        <v/>
      </c>
      <c r="C854" s="2" t="str">
        <f ca="1">IF(E853="continue",SUM(B$8:B854),"")</f>
        <v/>
      </c>
      <c r="D854" s="1" t="str">
        <f t="shared" ca="1" si="68"/>
        <v/>
      </c>
      <c r="E854" s="13" t="str">
        <f t="shared" ca="1" si="69"/>
        <v>No ruin</v>
      </c>
      <c r="F854">
        <f t="shared" ca="1" si="70"/>
        <v>0</v>
      </c>
    </row>
    <row r="855" spans="1:6">
      <c r="A855" s="3" t="str">
        <f t="shared" ca="1" si="66"/>
        <v/>
      </c>
      <c r="B855" s="2" t="str">
        <f t="shared" ca="1" si="67"/>
        <v/>
      </c>
      <c r="C855" s="2" t="str">
        <f ca="1">IF(E854="continue",SUM(B$8:B855),"")</f>
        <v/>
      </c>
      <c r="D855" s="1" t="str">
        <f t="shared" ca="1" si="68"/>
        <v/>
      </c>
      <c r="E855" s="13" t="str">
        <f t="shared" ca="1" si="69"/>
        <v>No ruin</v>
      </c>
      <c r="F855">
        <f t="shared" ca="1" si="70"/>
        <v>0</v>
      </c>
    </row>
    <row r="856" spans="1:6">
      <c r="A856" s="3" t="str">
        <f t="shared" ca="1" si="66"/>
        <v/>
      </c>
      <c r="B856" s="2" t="str">
        <f t="shared" ca="1" si="67"/>
        <v/>
      </c>
      <c r="C856" s="2" t="str">
        <f ca="1">IF(E855="continue",SUM(B$8:B856),"")</f>
        <v/>
      </c>
      <c r="D856" s="1" t="str">
        <f t="shared" ca="1" si="68"/>
        <v/>
      </c>
      <c r="E856" s="13" t="str">
        <f t="shared" ca="1" si="69"/>
        <v>No ruin</v>
      </c>
      <c r="F856">
        <f t="shared" ca="1" si="70"/>
        <v>0</v>
      </c>
    </row>
    <row r="857" spans="1:6">
      <c r="A857" s="3" t="str">
        <f t="shared" ca="1" si="66"/>
        <v/>
      </c>
      <c r="B857" s="2" t="str">
        <f t="shared" ca="1" si="67"/>
        <v/>
      </c>
      <c r="C857" s="2" t="str">
        <f ca="1">IF(E856="continue",SUM(B$8:B857),"")</f>
        <v/>
      </c>
      <c r="D857" s="1" t="str">
        <f t="shared" ca="1" si="68"/>
        <v/>
      </c>
      <c r="E857" s="13" t="str">
        <f t="shared" ca="1" si="69"/>
        <v>No ruin</v>
      </c>
      <c r="F857">
        <f t="shared" ca="1" si="70"/>
        <v>0</v>
      </c>
    </row>
    <row r="858" spans="1:6">
      <c r="A858" s="3" t="str">
        <f t="shared" ca="1" si="66"/>
        <v/>
      </c>
      <c r="B858" s="2" t="str">
        <f t="shared" ca="1" si="67"/>
        <v/>
      </c>
      <c r="C858" s="2" t="str">
        <f ca="1">IF(E857="continue",SUM(B$8:B858),"")</f>
        <v/>
      </c>
      <c r="D858" s="1" t="str">
        <f t="shared" ca="1" si="68"/>
        <v/>
      </c>
      <c r="E858" s="13" t="str">
        <f t="shared" ca="1" si="69"/>
        <v>No ruin</v>
      </c>
      <c r="F858">
        <f t="shared" ca="1" si="70"/>
        <v>0</v>
      </c>
    </row>
    <row r="859" spans="1:6">
      <c r="A859" s="3" t="str">
        <f t="shared" ca="1" si="66"/>
        <v/>
      </c>
      <c r="B859" s="2" t="str">
        <f t="shared" ca="1" si="67"/>
        <v/>
      </c>
      <c r="C859" s="2" t="str">
        <f ca="1">IF(E858="continue",SUM(B$8:B859),"")</f>
        <v/>
      </c>
      <c r="D859" s="1" t="str">
        <f t="shared" ca="1" si="68"/>
        <v/>
      </c>
      <c r="E859" s="13" t="str">
        <f t="shared" ca="1" si="69"/>
        <v>No ruin</v>
      </c>
      <c r="F859">
        <f t="shared" ca="1" si="70"/>
        <v>0</v>
      </c>
    </row>
    <row r="860" spans="1:6">
      <c r="A860" s="3" t="str">
        <f t="shared" ref="A860:A923" ca="1" si="71">IF(E859="continue",-LN(1-RAND())*O$3+A859,"")</f>
        <v/>
      </c>
      <c r="B860" s="2" t="str">
        <f t="shared" ref="B860:B923" ca="1" si="72">IF(E859="continue",-LN(1-RAND())*M$3,"")</f>
        <v/>
      </c>
      <c r="C860" s="2" t="str">
        <f ca="1">IF(E859="continue",SUM(B$8:B860),"")</f>
        <v/>
      </c>
      <c r="D860" s="1" t="str">
        <f t="shared" ref="D860:D923" ca="1" si="73">IF(E859="continue",(1+J$1)*(1/O$3)*M$3*A860,"")</f>
        <v/>
      </c>
      <c r="E860" s="13" t="str">
        <f t="shared" ref="E860:E923" ca="1" si="74">IF(A860&gt;G$1,"No ruin",IF(AND(A860&lt;=G$1,C860&gt;J$4+D860),"RUIN","continue"))</f>
        <v>No ruin</v>
      </c>
      <c r="F860">
        <f t="shared" ca="1" si="70"/>
        <v>0</v>
      </c>
    </row>
    <row r="861" spans="1:6">
      <c r="A861" s="3" t="str">
        <f t="shared" ca="1" si="71"/>
        <v/>
      </c>
      <c r="B861" s="2" t="str">
        <f t="shared" ca="1" si="72"/>
        <v/>
      </c>
      <c r="C861" s="2" t="str">
        <f ca="1">IF(E860="continue",SUM(B$8:B861),"")</f>
        <v/>
      </c>
      <c r="D861" s="1" t="str">
        <f t="shared" ca="1" si="73"/>
        <v/>
      </c>
      <c r="E861" s="13" t="str">
        <f t="shared" ca="1" si="74"/>
        <v>No ruin</v>
      </c>
      <c r="F861">
        <f t="shared" ca="1" si="70"/>
        <v>0</v>
      </c>
    </row>
    <row r="862" spans="1:6">
      <c r="A862" s="3" t="str">
        <f t="shared" ca="1" si="71"/>
        <v/>
      </c>
      <c r="B862" s="2" t="str">
        <f t="shared" ca="1" si="72"/>
        <v/>
      </c>
      <c r="C862" s="2" t="str">
        <f ca="1">IF(E861="continue",SUM(B$8:B862),"")</f>
        <v/>
      </c>
      <c r="D862" s="1" t="str">
        <f t="shared" ca="1" si="73"/>
        <v/>
      </c>
      <c r="E862" s="13" t="str">
        <f t="shared" ca="1" si="74"/>
        <v>No ruin</v>
      </c>
      <c r="F862">
        <f t="shared" ca="1" si="70"/>
        <v>0</v>
      </c>
    </row>
    <row r="863" spans="1:6">
      <c r="A863" s="3" t="str">
        <f t="shared" ca="1" si="71"/>
        <v/>
      </c>
      <c r="B863" s="2" t="str">
        <f t="shared" ca="1" si="72"/>
        <v/>
      </c>
      <c r="C863" s="2" t="str">
        <f ca="1">IF(E862="continue",SUM(B$8:B863),"")</f>
        <v/>
      </c>
      <c r="D863" s="1" t="str">
        <f t="shared" ca="1" si="73"/>
        <v/>
      </c>
      <c r="E863" s="13" t="str">
        <f t="shared" ca="1" si="74"/>
        <v>No ruin</v>
      </c>
      <c r="F863">
        <f t="shared" ca="1" si="70"/>
        <v>0</v>
      </c>
    </row>
    <row r="864" spans="1:6">
      <c r="A864" s="3" t="str">
        <f t="shared" ca="1" si="71"/>
        <v/>
      </c>
      <c r="B864" s="2" t="str">
        <f t="shared" ca="1" si="72"/>
        <v/>
      </c>
      <c r="C864" s="2" t="str">
        <f ca="1">IF(E863="continue",SUM(B$8:B864),"")</f>
        <v/>
      </c>
      <c r="D864" s="1" t="str">
        <f t="shared" ca="1" si="73"/>
        <v/>
      </c>
      <c r="E864" s="13" t="str">
        <f t="shared" ca="1" si="74"/>
        <v>No ruin</v>
      </c>
      <c r="F864">
        <f t="shared" ca="1" si="70"/>
        <v>0</v>
      </c>
    </row>
    <row r="865" spans="1:6">
      <c r="A865" s="3" t="str">
        <f t="shared" ca="1" si="71"/>
        <v/>
      </c>
      <c r="B865" s="2" t="str">
        <f t="shared" ca="1" si="72"/>
        <v/>
      </c>
      <c r="C865" s="2" t="str">
        <f ca="1">IF(E864="continue",SUM(B$8:B865),"")</f>
        <v/>
      </c>
      <c r="D865" s="1" t="str">
        <f t="shared" ca="1" si="73"/>
        <v/>
      </c>
      <c r="E865" s="13" t="str">
        <f t="shared" ca="1" si="74"/>
        <v>No ruin</v>
      </c>
      <c r="F865">
        <f t="shared" ca="1" si="70"/>
        <v>0</v>
      </c>
    </row>
    <row r="866" spans="1:6">
      <c r="A866" s="3" t="str">
        <f t="shared" ca="1" si="71"/>
        <v/>
      </c>
      <c r="B866" s="2" t="str">
        <f t="shared" ca="1" si="72"/>
        <v/>
      </c>
      <c r="C866" s="2" t="str">
        <f ca="1">IF(E865="continue",SUM(B$8:B866),"")</f>
        <v/>
      </c>
      <c r="D866" s="1" t="str">
        <f t="shared" ca="1" si="73"/>
        <v/>
      </c>
      <c r="E866" s="13" t="str">
        <f t="shared" ca="1" si="74"/>
        <v>No ruin</v>
      </c>
      <c r="F866">
        <f t="shared" ca="1" si="70"/>
        <v>0</v>
      </c>
    </row>
    <row r="867" spans="1:6">
      <c r="A867" s="3" t="str">
        <f t="shared" ca="1" si="71"/>
        <v/>
      </c>
      <c r="B867" s="2" t="str">
        <f t="shared" ca="1" si="72"/>
        <v/>
      </c>
      <c r="C867" s="2" t="str">
        <f ca="1">IF(E866="continue",SUM(B$8:B867),"")</f>
        <v/>
      </c>
      <c r="D867" s="1" t="str">
        <f t="shared" ca="1" si="73"/>
        <v/>
      </c>
      <c r="E867" s="13" t="str">
        <f t="shared" ca="1" si="74"/>
        <v>No ruin</v>
      </c>
      <c r="F867">
        <f t="shared" ca="1" si="70"/>
        <v>0</v>
      </c>
    </row>
    <row r="868" spans="1:6">
      <c r="A868" s="3" t="str">
        <f t="shared" ca="1" si="71"/>
        <v/>
      </c>
      <c r="B868" s="2" t="str">
        <f t="shared" ca="1" si="72"/>
        <v/>
      </c>
      <c r="C868" s="2" t="str">
        <f ca="1">IF(E867="continue",SUM(B$8:B868),"")</f>
        <v/>
      </c>
      <c r="D868" s="1" t="str">
        <f t="shared" ca="1" si="73"/>
        <v/>
      </c>
      <c r="E868" s="13" t="str">
        <f t="shared" ca="1" si="74"/>
        <v>No ruin</v>
      </c>
      <c r="F868">
        <f t="shared" ca="1" si="70"/>
        <v>0</v>
      </c>
    </row>
    <row r="869" spans="1:6">
      <c r="A869" s="3" t="str">
        <f t="shared" ca="1" si="71"/>
        <v/>
      </c>
      <c r="B869" s="2" t="str">
        <f t="shared" ca="1" si="72"/>
        <v/>
      </c>
      <c r="C869" s="2" t="str">
        <f ca="1">IF(E868="continue",SUM(B$8:B869),"")</f>
        <v/>
      </c>
      <c r="D869" s="1" t="str">
        <f t="shared" ca="1" si="73"/>
        <v/>
      </c>
      <c r="E869" s="13" t="str">
        <f t="shared" ca="1" si="74"/>
        <v>No ruin</v>
      </c>
      <c r="F869">
        <f t="shared" ca="1" si="70"/>
        <v>0</v>
      </c>
    </row>
    <row r="870" spans="1:6">
      <c r="A870" s="3" t="str">
        <f t="shared" ca="1" si="71"/>
        <v/>
      </c>
      <c r="B870" s="2" t="str">
        <f t="shared" ca="1" si="72"/>
        <v/>
      </c>
      <c r="C870" s="2" t="str">
        <f ca="1">IF(E869="continue",SUM(B$8:B870),"")</f>
        <v/>
      </c>
      <c r="D870" s="1" t="str">
        <f t="shared" ca="1" si="73"/>
        <v/>
      </c>
      <c r="E870" s="13" t="str">
        <f t="shared" ca="1" si="74"/>
        <v>No ruin</v>
      </c>
      <c r="F870">
        <f t="shared" ca="1" si="70"/>
        <v>0</v>
      </c>
    </row>
    <row r="871" spans="1:6">
      <c r="A871" s="3" t="str">
        <f t="shared" ca="1" si="71"/>
        <v/>
      </c>
      <c r="B871" s="2" t="str">
        <f t="shared" ca="1" si="72"/>
        <v/>
      </c>
      <c r="C871" s="2" t="str">
        <f ca="1">IF(E870="continue",SUM(B$8:B871),"")</f>
        <v/>
      </c>
      <c r="D871" s="1" t="str">
        <f t="shared" ca="1" si="73"/>
        <v/>
      </c>
      <c r="E871" s="13" t="str">
        <f t="shared" ca="1" si="74"/>
        <v>No ruin</v>
      </c>
      <c r="F871">
        <f t="shared" ca="1" si="70"/>
        <v>0</v>
      </c>
    </row>
    <row r="872" spans="1:6">
      <c r="A872" s="3" t="str">
        <f t="shared" ca="1" si="71"/>
        <v/>
      </c>
      <c r="B872" s="2" t="str">
        <f t="shared" ca="1" si="72"/>
        <v/>
      </c>
      <c r="C872" s="2" t="str">
        <f ca="1">IF(E871="continue",SUM(B$8:B872),"")</f>
        <v/>
      </c>
      <c r="D872" s="1" t="str">
        <f t="shared" ca="1" si="73"/>
        <v/>
      </c>
      <c r="E872" s="13" t="str">
        <f t="shared" ca="1" si="74"/>
        <v>No ruin</v>
      </c>
      <c r="F872">
        <f t="shared" ca="1" si="70"/>
        <v>0</v>
      </c>
    </row>
    <row r="873" spans="1:6">
      <c r="A873" s="3" t="str">
        <f t="shared" ca="1" si="71"/>
        <v/>
      </c>
      <c r="B873" s="2" t="str">
        <f t="shared" ca="1" si="72"/>
        <v/>
      </c>
      <c r="C873" s="2" t="str">
        <f ca="1">IF(E872="continue",SUM(B$8:B873),"")</f>
        <v/>
      </c>
      <c r="D873" s="1" t="str">
        <f t="shared" ca="1" si="73"/>
        <v/>
      </c>
      <c r="E873" s="13" t="str">
        <f t="shared" ca="1" si="74"/>
        <v>No ruin</v>
      </c>
      <c r="F873">
        <f t="shared" ca="1" si="70"/>
        <v>0</v>
      </c>
    </row>
    <row r="874" spans="1:6">
      <c r="A874" s="3" t="str">
        <f t="shared" ca="1" si="71"/>
        <v/>
      </c>
      <c r="B874" s="2" t="str">
        <f t="shared" ca="1" si="72"/>
        <v/>
      </c>
      <c r="C874" s="2" t="str">
        <f ca="1">IF(E873="continue",SUM(B$8:B874),"")</f>
        <v/>
      </c>
      <c r="D874" s="1" t="str">
        <f t="shared" ca="1" si="73"/>
        <v/>
      </c>
      <c r="E874" s="13" t="str">
        <f t="shared" ca="1" si="74"/>
        <v>No ruin</v>
      </c>
      <c r="F874">
        <f t="shared" ca="1" si="70"/>
        <v>0</v>
      </c>
    </row>
    <row r="875" spans="1:6">
      <c r="A875" s="3" t="str">
        <f t="shared" ca="1" si="71"/>
        <v/>
      </c>
      <c r="B875" s="2" t="str">
        <f t="shared" ca="1" si="72"/>
        <v/>
      </c>
      <c r="C875" s="2" t="str">
        <f ca="1">IF(E874="continue",SUM(B$8:B875),"")</f>
        <v/>
      </c>
      <c r="D875" s="1" t="str">
        <f t="shared" ca="1" si="73"/>
        <v/>
      </c>
      <c r="E875" s="13" t="str">
        <f t="shared" ca="1" si="74"/>
        <v>No ruin</v>
      </c>
      <c r="F875">
        <f t="shared" ca="1" si="70"/>
        <v>0</v>
      </c>
    </row>
    <row r="876" spans="1:6">
      <c r="A876" s="3" t="str">
        <f t="shared" ca="1" si="71"/>
        <v/>
      </c>
      <c r="B876" s="2" t="str">
        <f t="shared" ca="1" si="72"/>
        <v/>
      </c>
      <c r="C876" s="2" t="str">
        <f ca="1">IF(E875="continue",SUM(B$8:B876),"")</f>
        <v/>
      </c>
      <c r="D876" s="1" t="str">
        <f t="shared" ca="1" si="73"/>
        <v/>
      </c>
      <c r="E876" s="13" t="str">
        <f t="shared" ca="1" si="74"/>
        <v>No ruin</v>
      </c>
      <c r="F876">
        <f t="shared" ca="1" si="70"/>
        <v>0</v>
      </c>
    </row>
    <row r="877" spans="1:6">
      <c r="A877" s="3" t="str">
        <f t="shared" ca="1" si="71"/>
        <v/>
      </c>
      <c r="B877" s="2" t="str">
        <f t="shared" ca="1" si="72"/>
        <v/>
      </c>
      <c r="C877" s="2" t="str">
        <f ca="1">IF(E876="continue",SUM(B$8:B877),"")</f>
        <v/>
      </c>
      <c r="D877" s="1" t="str">
        <f t="shared" ca="1" si="73"/>
        <v/>
      </c>
      <c r="E877" s="13" t="str">
        <f t="shared" ca="1" si="74"/>
        <v>No ruin</v>
      </c>
      <c r="F877">
        <f t="shared" ca="1" si="70"/>
        <v>0</v>
      </c>
    </row>
    <row r="878" spans="1:6">
      <c r="A878" s="3" t="str">
        <f t="shared" ca="1" si="71"/>
        <v/>
      </c>
      <c r="B878" s="2" t="str">
        <f t="shared" ca="1" si="72"/>
        <v/>
      </c>
      <c r="C878" s="2" t="str">
        <f ca="1">IF(E877="continue",SUM(B$8:B878),"")</f>
        <v/>
      </c>
      <c r="D878" s="1" t="str">
        <f t="shared" ca="1" si="73"/>
        <v/>
      </c>
      <c r="E878" s="13" t="str">
        <f t="shared" ca="1" si="74"/>
        <v>No ruin</v>
      </c>
      <c r="F878">
        <f t="shared" ca="1" si="70"/>
        <v>0</v>
      </c>
    </row>
    <row r="879" spans="1:6">
      <c r="A879" s="3" t="str">
        <f t="shared" ca="1" si="71"/>
        <v/>
      </c>
      <c r="B879" s="2" t="str">
        <f t="shared" ca="1" si="72"/>
        <v/>
      </c>
      <c r="C879" s="2" t="str">
        <f ca="1">IF(E878="continue",SUM(B$8:B879),"")</f>
        <v/>
      </c>
      <c r="D879" s="1" t="str">
        <f t="shared" ca="1" si="73"/>
        <v/>
      </c>
      <c r="E879" s="13" t="str">
        <f t="shared" ca="1" si="74"/>
        <v>No ruin</v>
      </c>
      <c r="F879">
        <f t="shared" ca="1" si="70"/>
        <v>0</v>
      </c>
    </row>
    <row r="880" spans="1:6">
      <c r="A880" s="3" t="str">
        <f t="shared" ca="1" si="71"/>
        <v/>
      </c>
      <c r="B880" s="2" t="str">
        <f t="shared" ca="1" si="72"/>
        <v/>
      </c>
      <c r="C880" s="2" t="str">
        <f ca="1">IF(E879="continue",SUM(B$8:B880),"")</f>
        <v/>
      </c>
      <c r="D880" s="1" t="str">
        <f t="shared" ca="1" si="73"/>
        <v/>
      </c>
      <c r="E880" s="13" t="str">
        <f t="shared" ca="1" si="74"/>
        <v>No ruin</v>
      </c>
      <c r="F880">
        <f t="shared" ca="1" si="70"/>
        <v>0</v>
      </c>
    </row>
    <row r="881" spans="1:6">
      <c r="A881" s="3" t="str">
        <f t="shared" ca="1" si="71"/>
        <v/>
      </c>
      <c r="B881" s="2" t="str">
        <f t="shared" ca="1" si="72"/>
        <v/>
      </c>
      <c r="C881" s="2" t="str">
        <f ca="1">IF(E880="continue",SUM(B$8:B881),"")</f>
        <v/>
      </c>
      <c r="D881" s="1" t="str">
        <f t="shared" ca="1" si="73"/>
        <v/>
      </c>
      <c r="E881" s="13" t="str">
        <f t="shared" ca="1" si="74"/>
        <v>No ruin</v>
      </c>
      <c r="F881">
        <f t="shared" ca="1" si="70"/>
        <v>0</v>
      </c>
    </row>
    <row r="882" spans="1:6">
      <c r="A882" s="3" t="str">
        <f t="shared" ca="1" si="71"/>
        <v/>
      </c>
      <c r="B882" s="2" t="str">
        <f t="shared" ca="1" si="72"/>
        <v/>
      </c>
      <c r="C882" s="2" t="str">
        <f ca="1">IF(E881="continue",SUM(B$8:B882),"")</f>
        <v/>
      </c>
      <c r="D882" s="1" t="str">
        <f t="shared" ca="1" si="73"/>
        <v/>
      </c>
      <c r="E882" s="13" t="str">
        <f t="shared" ca="1" si="74"/>
        <v>No ruin</v>
      </c>
      <c r="F882">
        <f t="shared" ca="1" si="70"/>
        <v>0</v>
      </c>
    </row>
    <row r="883" spans="1:6">
      <c r="A883" s="3" t="str">
        <f t="shared" ca="1" si="71"/>
        <v/>
      </c>
      <c r="B883" s="2" t="str">
        <f t="shared" ca="1" si="72"/>
        <v/>
      </c>
      <c r="C883" s="2" t="str">
        <f ca="1">IF(E882="continue",SUM(B$8:B883),"")</f>
        <v/>
      </c>
      <c r="D883" s="1" t="str">
        <f t="shared" ca="1" si="73"/>
        <v/>
      </c>
      <c r="E883" s="13" t="str">
        <f t="shared" ca="1" si="74"/>
        <v>No ruin</v>
      </c>
      <c r="F883">
        <f t="shared" ca="1" si="70"/>
        <v>0</v>
      </c>
    </row>
    <row r="884" spans="1:6">
      <c r="A884" s="3" t="str">
        <f t="shared" ca="1" si="71"/>
        <v/>
      </c>
      <c r="B884" s="2" t="str">
        <f t="shared" ca="1" si="72"/>
        <v/>
      </c>
      <c r="C884" s="2" t="str">
        <f ca="1">IF(E883="continue",SUM(B$8:B884),"")</f>
        <v/>
      </c>
      <c r="D884" s="1" t="str">
        <f t="shared" ca="1" si="73"/>
        <v/>
      </c>
      <c r="E884" s="13" t="str">
        <f t="shared" ca="1" si="74"/>
        <v>No ruin</v>
      </c>
      <c r="F884">
        <f t="shared" ca="1" si="70"/>
        <v>0</v>
      </c>
    </row>
    <row r="885" spans="1:6">
      <c r="A885" s="3" t="str">
        <f t="shared" ca="1" si="71"/>
        <v/>
      </c>
      <c r="B885" s="2" t="str">
        <f t="shared" ca="1" si="72"/>
        <v/>
      </c>
      <c r="C885" s="2" t="str">
        <f ca="1">IF(E884="continue",SUM(B$8:B885),"")</f>
        <v/>
      </c>
      <c r="D885" s="1" t="str">
        <f t="shared" ca="1" si="73"/>
        <v/>
      </c>
      <c r="E885" s="13" t="str">
        <f t="shared" ca="1" si="74"/>
        <v>No ruin</v>
      </c>
      <c r="F885">
        <f t="shared" ca="1" si="70"/>
        <v>0</v>
      </c>
    </row>
    <row r="886" spans="1:6">
      <c r="A886" s="3" t="str">
        <f t="shared" ca="1" si="71"/>
        <v/>
      </c>
      <c r="B886" s="2" t="str">
        <f t="shared" ca="1" si="72"/>
        <v/>
      </c>
      <c r="C886" s="2" t="str">
        <f ca="1">IF(E885="continue",SUM(B$8:B886),"")</f>
        <v/>
      </c>
      <c r="D886" s="1" t="str">
        <f t="shared" ca="1" si="73"/>
        <v/>
      </c>
      <c r="E886" s="13" t="str">
        <f t="shared" ca="1" si="74"/>
        <v>No ruin</v>
      </c>
      <c r="F886">
        <f t="shared" ca="1" si="70"/>
        <v>0</v>
      </c>
    </row>
    <row r="887" spans="1:6">
      <c r="A887" s="3" t="str">
        <f t="shared" ca="1" si="71"/>
        <v/>
      </c>
      <c r="B887" s="2" t="str">
        <f t="shared" ca="1" si="72"/>
        <v/>
      </c>
      <c r="C887" s="2" t="str">
        <f ca="1">IF(E886="continue",SUM(B$8:B887),"")</f>
        <v/>
      </c>
      <c r="D887" s="1" t="str">
        <f t="shared" ca="1" si="73"/>
        <v/>
      </c>
      <c r="E887" s="13" t="str">
        <f t="shared" ca="1" si="74"/>
        <v>No ruin</v>
      </c>
      <c r="F887">
        <f t="shared" ca="1" si="70"/>
        <v>0</v>
      </c>
    </row>
    <row r="888" spans="1:6">
      <c r="A888" s="3" t="str">
        <f t="shared" ca="1" si="71"/>
        <v/>
      </c>
      <c r="B888" s="2" t="str">
        <f t="shared" ca="1" si="72"/>
        <v/>
      </c>
      <c r="C888" s="2" t="str">
        <f ca="1">IF(E887="continue",SUM(B$8:B888),"")</f>
        <v/>
      </c>
      <c r="D888" s="1" t="str">
        <f t="shared" ca="1" si="73"/>
        <v/>
      </c>
      <c r="E888" s="13" t="str">
        <f t="shared" ca="1" si="74"/>
        <v>No ruin</v>
      </c>
      <c r="F888">
        <f t="shared" ca="1" si="70"/>
        <v>0</v>
      </c>
    </row>
    <row r="889" spans="1:6">
      <c r="A889" s="3" t="str">
        <f t="shared" ca="1" si="71"/>
        <v/>
      </c>
      <c r="B889" s="2" t="str">
        <f t="shared" ca="1" si="72"/>
        <v/>
      </c>
      <c r="C889" s="2" t="str">
        <f ca="1">IF(E888="continue",SUM(B$8:B889),"")</f>
        <v/>
      </c>
      <c r="D889" s="1" t="str">
        <f t="shared" ca="1" si="73"/>
        <v/>
      </c>
      <c r="E889" s="13" t="str">
        <f t="shared" ca="1" si="74"/>
        <v>No ruin</v>
      </c>
      <c r="F889">
        <f t="shared" ca="1" si="70"/>
        <v>0</v>
      </c>
    </row>
    <row r="890" spans="1:6">
      <c r="A890" s="3" t="str">
        <f t="shared" ca="1" si="71"/>
        <v/>
      </c>
      <c r="B890" s="2" t="str">
        <f t="shared" ca="1" si="72"/>
        <v/>
      </c>
      <c r="C890" s="2" t="str">
        <f ca="1">IF(E889="continue",SUM(B$8:B890),"")</f>
        <v/>
      </c>
      <c r="D890" s="1" t="str">
        <f t="shared" ca="1" si="73"/>
        <v/>
      </c>
      <c r="E890" s="13" t="str">
        <f t="shared" ca="1" si="74"/>
        <v>No ruin</v>
      </c>
      <c r="F890">
        <f t="shared" ca="1" si="70"/>
        <v>0</v>
      </c>
    </row>
    <row r="891" spans="1:6">
      <c r="A891" s="3" t="str">
        <f t="shared" ca="1" si="71"/>
        <v/>
      </c>
      <c r="B891" s="2" t="str">
        <f t="shared" ca="1" si="72"/>
        <v/>
      </c>
      <c r="C891" s="2" t="str">
        <f ca="1">IF(E890="continue",SUM(B$8:B891),"")</f>
        <v/>
      </c>
      <c r="D891" s="1" t="str">
        <f t="shared" ca="1" si="73"/>
        <v/>
      </c>
      <c r="E891" s="13" t="str">
        <f t="shared" ca="1" si="74"/>
        <v>No ruin</v>
      </c>
      <c r="F891">
        <f t="shared" ca="1" si="70"/>
        <v>0</v>
      </c>
    </row>
    <row r="892" spans="1:6">
      <c r="A892" s="3" t="str">
        <f t="shared" ca="1" si="71"/>
        <v/>
      </c>
      <c r="B892" s="2" t="str">
        <f t="shared" ca="1" si="72"/>
        <v/>
      </c>
      <c r="C892" s="2" t="str">
        <f ca="1">IF(E891="continue",SUM(B$8:B892),"")</f>
        <v/>
      </c>
      <c r="D892" s="1" t="str">
        <f t="shared" ca="1" si="73"/>
        <v/>
      </c>
      <c r="E892" s="13" t="str">
        <f t="shared" ca="1" si="74"/>
        <v>No ruin</v>
      </c>
      <c r="F892">
        <f t="shared" ca="1" si="70"/>
        <v>0</v>
      </c>
    </row>
    <row r="893" spans="1:6">
      <c r="A893" s="3" t="str">
        <f t="shared" ca="1" si="71"/>
        <v/>
      </c>
      <c r="B893" s="2" t="str">
        <f t="shared" ca="1" si="72"/>
        <v/>
      </c>
      <c r="C893" s="2" t="str">
        <f ca="1">IF(E892="continue",SUM(B$8:B893),"")</f>
        <v/>
      </c>
      <c r="D893" s="1" t="str">
        <f t="shared" ca="1" si="73"/>
        <v/>
      </c>
      <c r="E893" s="13" t="str">
        <f t="shared" ca="1" si="74"/>
        <v>No ruin</v>
      </c>
      <c r="F893">
        <f t="shared" ca="1" si="70"/>
        <v>0</v>
      </c>
    </row>
    <row r="894" spans="1:6">
      <c r="A894" s="3" t="str">
        <f t="shared" ca="1" si="71"/>
        <v/>
      </c>
      <c r="B894" s="2" t="str">
        <f t="shared" ca="1" si="72"/>
        <v/>
      </c>
      <c r="C894" s="2" t="str">
        <f ca="1">IF(E893="continue",SUM(B$8:B894),"")</f>
        <v/>
      </c>
      <c r="D894" s="1" t="str">
        <f t="shared" ca="1" si="73"/>
        <v/>
      </c>
      <c r="E894" s="13" t="str">
        <f t="shared" ca="1" si="74"/>
        <v>No ruin</v>
      </c>
      <c r="F894">
        <f t="shared" ca="1" si="70"/>
        <v>0</v>
      </c>
    </row>
    <row r="895" spans="1:6">
      <c r="A895" s="3" t="str">
        <f t="shared" ca="1" si="71"/>
        <v/>
      </c>
      <c r="B895" s="2" t="str">
        <f t="shared" ca="1" si="72"/>
        <v/>
      </c>
      <c r="C895" s="2" t="str">
        <f ca="1">IF(E894="continue",SUM(B$8:B895),"")</f>
        <v/>
      </c>
      <c r="D895" s="1" t="str">
        <f t="shared" ca="1" si="73"/>
        <v/>
      </c>
      <c r="E895" s="13" t="str">
        <f t="shared" ca="1" si="74"/>
        <v>No ruin</v>
      </c>
      <c r="F895">
        <f t="shared" ca="1" si="70"/>
        <v>0</v>
      </c>
    </row>
    <row r="896" spans="1:6">
      <c r="A896" s="3" t="str">
        <f t="shared" ca="1" si="71"/>
        <v/>
      </c>
      <c r="B896" s="2" t="str">
        <f t="shared" ca="1" si="72"/>
        <v/>
      </c>
      <c r="C896" s="2" t="str">
        <f ca="1">IF(E895="continue",SUM(B$8:B896),"")</f>
        <v/>
      </c>
      <c r="D896" s="1" t="str">
        <f t="shared" ca="1" si="73"/>
        <v/>
      </c>
      <c r="E896" s="13" t="str">
        <f t="shared" ca="1" si="74"/>
        <v>No ruin</v>
      </c>
      <c r="F896">
        <f t="shared" ca="1" si="70"/>
        <v>0</v>
      </c>
    </row>
    <row r="897" spans="1:6">
      <c r="A897" s="3" t="str">
        <f t="shared" ca="1" si="71"/>
        <v/>
      </c>
      <c r="B897" s="2" t="str">
        <f t="shared" ca="1" si="72"/>
        <v/>
      </c>
      <c r="C897" s="2" t="str">
        <f ca="1">IF(E896="continue",SUM(B$8:B897),"")</f>
        <v/>
      </c>
      <c r="D897" s="1" t="str">
        <f t="shared" ca="1" si="73"/>
        <v/>
      </c>
      <c r="E897" s="13" t="str">
        <f t="shared" ca="1" si="74"/>
        <v>No ruin</v>
      </c>
      <c r="F897">
        <f t="shared" ca="1" si="70"/>
        <v>0</v>
      </c>
    </row>
    <row r="898" spans="1:6">
      <c r="A898" s="3" t="str">
        <f t="shared" ca="1" si="71"/>
        <v/>
      </c>
      <c r="B898" s="2" t="str">
        <f t="shared" ca="1" si="72"/>
        <v/>
      </c>
      <c r="C898" s="2" t="str">
        <f ca="1">IF(E897="continue",SUM(B$8:B898),"")</f>
        <v/>
      </c>
      <c r="D898" s="1" t="str">
        <f t="shared" ca="1" si="73"/>
        <v/>
      </c>
      <c r="E898" s="13" t="str">
        <f t="shared" ca="1" si="74"/>
        <v>No ruin</v>
      </c>
      <c r="F898">
        <f t="shared" ca="1" si="70"/>
        <v>0</v>
      </c>
    </row>
    <row r="899" spans="1:6">
      <c r="A899" s="3" t="str">
        <f t="shared" ca="1" si="71"/>
        <v/>
      </c>
      <c r="B899" s="2" t="str">
        <f t="shared" ca="1" si="72"/>
        <v/>
      </c>
      <c r="C899" s="2" t="str">
        <f ca="1">IF(E898="continue",SUM(B$8:B899),"")</f>
        <v/>
      </c>
      <c r="D899" s="1" t="str">
        <f t="shared" ca="1" si="73"/>
        <v/>
      </c>
      <c r="E899" s="13" t="str">
        <f t="shared" ca="1" si="74"/>
        <v>No ruin</v>
      </c>
      <c r="F899">
        <f t="shared" ca="1" si="70"/>
        <v>0</v>
      </c>
    </row>
    <row r="900" spans="1:6">
      <c r="A900" s="3" t="str">
        <f t="shared" ca="1" si="71"/>
        <v/>
      </c>
      <c r="B900" s="2" t="str">
        <f t="shared" ca="1" si="72"/>
        <v/>
      </c>
      <c r="C900" s="2" t="str">
        <f ca="1">IF(E899="continue",SUM(B$8:B900),"")</f>
        <v/>
      </c>
      <c r="D900" s="1" t="str">
        <f t="shared" ca="1" si="73"/>
        <v/>
      </c>
      <c r="E900" s="13" t="str">
        <f t="shared" ca="1" si="74"/>
        <v>No ruin</v>
      </c>
      <c r="F900">
        <f t="shared" ca="1" si="70"/>
        <v>0</v>
      </c>
    </row>
    <row r="901" spans="1:6">
      <c r="A901" s="3" t="str">
        <f t="shared" ca="1" si="71"/>
        <v/>
      </c>
      <c r="B901" s="2" t="str">
        <f t="shared" ca="1" si="72"/>
        <v/>
      </c>
      <c r="C901" s="2" t="str">
        <f ca="1">IF(E900="continue",SUM(B$8:B901),"")</f>
        <v/>
      </c>
      <c r="D901" s="1" t="str">
        <f t="shared" ca="1" si="73"/>
        <v/>
      </c>
      <c r="E901" s="13" t="str">
        <f t="shared" ca="1" si="74"/>
        <v>No ruin</v>
      </c>
      <c r="F901">
        <f t="shared" ca="1" si="70"/>
        <v>0</v>
      </c>
    </row>
    <row r="902" spans="1:6">
      <c r="A902" s="3" t="str">
        <f t="shared" ca="1" si="71"/>
        <v/>
      </c>
      <c r="B902" s="2" t="str">
        <f t="shared" ca="1" si="72"/>
        <v/>
      </c>
      <c r="C902" s="2" t="str">
        <f ca="1">IF(E901="continue",SUM(B$8:B902),"")</f>
        <v/>
      </c>
      <c r="D902" s="1" t="str">
        <f t="shared" ca="1" si="73"/>
        <v/>
      </c>
      <c r="E902" s="13" t="str">
        <f t="shared" ca="1" si="74"/>
        <v>No ruin</v>
      </c>
      <c r="F902">
        <f t="shared" ca="1" si="70"/>
        <v>0</v>
      </c>
    </row>
    <row r="903" spans="1:6">
      <c r="A903" s="3" t="str">
        <f t="shared" ca="1" si="71"/>
        <v/>
      </c>
      <c r="B903" s="2" t="str">
        <f t="shared" ca="1" si="72"/>
        <v/>
      </c>
      <c r="C903" s="2" t="str">
        <f ca="1">IF(E902="continue",SUM(B$8:B903),"")</f>
        <v/>
      </c>
      <c r="D903" s="1" t="str">
        <f t="shared" ca="1" si="73"/>
        <v/>
      </c>
      <c r="E903" s="13" t="str">
        <f t="shared" ca="1" si="74"/>
        <v>No ruin</v>
      </c>
      <c r="F903">
        <f t="shared" ca="1" si="70"/>
        <v>0</v>
      </c>
    </row>
    <row r="904" spans="1:6">
      <c r="A904" s="3" t="str">
        <f t="shared" ca="1" si="71"/>
        <v/>
      </c>
      <c r="B904" s="2" t="str">
        <f t="shared" ca="1" si="72"/>
        <v/>
      </c>
      <c r="C904" s="2" t="str">
        <f ca="1">IF(E903="continue",SUM(B$8:B904),"")</f>
        <v/>
      </c>
      <c r="D904" s="1" t="str">
        <f t="shared" ca="1" si="73"/>
        <v/>
      </c>
      <c r="E904" s="13" t="str">
        <f t="shared" ca="1" si="74"/>
        <v>No ruin</v>
      </c>
      <c r="F904">
        <f t="shared" ca="1" si="70"/>
        <v>0</v>
      </c>
    </row>
    <row r="905" spans="1:6">
      <c r="A905" s="3" t="str">
        <f t="shared" ca="1" si="71"/>
        <v/>
      </c>
      <c r="B905" s="2" t="str">
        <f t="shared" ca="1" si="72"/>
        <v/>
      </c>
      <c r="C905" s="2" t="str">
        <f ca="1">IF(E904="continue",SUM(B$8:B905),"")</f>
        <v/>
      </c>
      <c r="D905" s="1" t="str">
        <f t="shared" ca="1" si="73"/>
        <v/>
      </c>
      <c r="E905" s="13" t="str">
        <f t="shared" ca="1" si="74"/>
        <v>No ruin</v>
      </c>
      <c r="F905">
        <f t="shared" ca="1" si="70"/>
        <v>0</v>
      </c>
    </row>
    <row r="906" spans="1:6">
      <c r="A906" s="3" t="str">
        <f t="shared" ca="1" si="71"/>
        <v/>
      </c>
      <c r="B906" s="2" t="str">
        <f t="shared" ca="1" si="72"/>
        <v/>
      </c>
      <c r="C906" s="2" t="str">
        <f ca="1">IF(E905="continue",SUM(B$8:B906),"")</f>
        <v/>
      </c>
      <c r="D906" s="1" t="str">
        <f t="shared" ca="1" si="73"/>
        <v/>
      </c>
      <c r="E906" s="13" t="str">
        <f t="shared" ca="1" si="74"/>
        <v>No ruin</v>
      </c>
      <c r="F906">
        <f t="shared" ref="F906:F969" ca="1" si="75">IF(E906="RUIN",1,0)</f>
        <v>0</v>
      </c>
    </row>
    <row r="907" spans="1:6">
      <c r="A907" s="3" t="str">
        <f t="shared" ca="1" si="71"/>
        <v/>
      </c>
      <c r="B907" s="2" t="str">
        <f t="shared" ca="1" si="72"/>
        <v/>
      </c>
      <c r="C907" s="2" t="str">
        <f ca="1">IF(E906="continue",SUM(B$8:B907),"")</f>
        <v/>
      </c>
      <c r="D907" s="1" t="str">
        <f t="shared" ca="1" si="73"/>
        <v/>
      </c>
      <c r="E907" s="13" t="str">
        <f t="shared" ca="1" si="74"/>
        <v>No ruin</v>
      </c>
      <c r="F907">
        <f t="shared" ca="1" si="75"/>
        <v>0</v>
      </c>
    </row>
    <row r="908" spans="1:6">
      <c r="A908" s="3" t="str">
        <f t="shared" ca="1" si="71"/>
        <v/>
      </c>
      <c r="B908" s="2" t="str">
        <f t="shared" ca="1" si="72"/>
        <v/>
      </c>
      <c r="C908" s="2" t="str">
        <f ca="1">IF(E907="continue",SUM(B$8:B908),"")</f>
        <v/>
      </c>
      <c r="D908" s="1" t="str">
        <f t="shared" ca="1" si="73"/>
        <v/>
      </c>
      <c r="E908" s="13" t="str">
        <f t="shared" ca="1" si="74"/>
        <v>No ruin</v>
      </c>
      <c r="F908">
        <f t="shared" ca="1" si="75"/>
        <v>0</v>
      </c>
    </row>
    <row r="909" spans="1:6">
      <c r="A909" s="3" t="str">
        <f t="shared" ca="1" si="71"/>
        <v/>
      </c>
      <c r="B909" s="2" t="str">
        <f t="shared" ca="1" si="72"/>
        <v/>
      </c>
      <c r="C909" s="2" t="str">
        <f ca="1">IF(E908="continue",SUM(B$8:B909),"")</f>
        <v/>
      </c>
      <c r="D909" s="1" t="str">
        <f t="shared" ca="1" si="73"/>
        <v/>
      </c>
      <c r="E909" s="13" t="str">
        <f t="shared" ca="1" si="74"/>
        <v>No ruin</v>
      </c>
      <c r="F909">
        <f t="shared" ca="1" si="75"/>
        <v>0</v>
      </c>
    </row>
    <row r="910" spans="1:6">
      <c r="A910" s="3" t="str">
        <f t="shared" ca="1" si="71"/>
        <v/>
      </c>
      <c r="B910" s="2" t="str">
        <f t="shared" ca="1" si="72"/>
        <v/>
      </c>
      <c r="C910" s="2" t="str">
        <f ca="1">IF(E909="continue",SUM(B$8:B910),"")</f>
        <v/>
      </c>
      <c r="D910" s="1" t="str">
        <f t="shared" ca="1" si="73"/>
        <v/>
      </c>
      <c r="E910" s="13" t="str">
        <f t="shared" ca="1" si="74"/>
        <v>No ruin</v>
      </c>
      <c r="F910">
        <f t="shared" ca="1" si="75"/>
        <v>0</v>
      </c>
    </row>
    <row r="911" spans="1:6">
      <c r="A911" s="3" t="str">
        <f t="shared" ca="1" si="71"/>
        <v/>
      </c>
      <c r="B911" s="2" t="str">
        <f t="shared" ca="1" si="72"/>
        <v/>
      </c>
      <c r="C911" s="2" t="str">
        <f ca="1">IF(E910="continue",SUM(B$8:B911),"")</f>
        <v/>
      </c>
      <c r="D911" s="1" t="str">
        <f t="shared" ca="1" si="73"/>
        <v/>
      </c>
      <c r="E911" s="13" t="str">
        <f t="shared" ca="1" si="74"/>
        <v>No ruin</v>
      </c>
      <c r="F911">
        <f t="shared" ca="1" si="75"/>
        <v>0</v>
      </c>
    </row>
    <row r="912" spans="1:6">
      <c r="A912" s="3" t="str">
        <f t="shared" ca="1" si="71"/>
        <v/>
      </c>
      <c r="B912" s="2" t="str">
        <f t="shared" ca="1" si="72"/>
        <v/>
      </c>
      <c r="C912" s="2" t="str">
        <f ca="1">IF(E911="continue",SUM(B$8:B912),"")</f>
        <v/>
      </c>
      <c r="D912" s="1" t="str">
        <f t="shared" ca="1" si="73"/>
        <v/>
      </c>
      <c r="E912" s="13" t="str">
        <f t="shared" ca="1" si="74"/>
        <v>No ruin</v>
      </c>
      <c r="F912">
        <f t="shared" ca="1" si="75"/>
        <v>0</v>
      </c>
    </row>
    <row r="913" spans="1:6">
      <c r="A913" s="3" t="str">
        <f t="shared" ca="1" si="71"/>
        <v/>
      </c>
      <c r="B913" s="2" t="str">
        <f t="shared" ca="1" si="72"/>
        <v/>
      </c>
      <c r="C913" s="2" t="str">
        <f ca="1">IF(E912="continue",SUM(B$8:B913),"")</f>
        <v/>
      </c>
      <c r="D913" s="1" t="str">
        <f t="shared" ca="1" si="73"/>
        <v/>
      </c>
      <c r="E913" s="13" t="str">
        <f t="shared" ca="1" si="74"/>
        <v>No ruin</v>
      </c>
      <c r="F913">
        <f t="shared" ca="1" si="75"/>
        <v>0</v>
      </c>
    </row>
    <row r="914" spans="1:6">
      <c r="A914" s="3" t="str">
        <f t="shared" ca="1" si="71"/>
        <v/>
      </c>
      <c r="B914" s="2" t="str">
        <f t="shared" ca="1" si="72"/>
        <v/>
      </c>
      <c r="C914" s="2" t="str">
        <f ca="1">IF(E913="continue",SUM(B$8:B914),"")</f>
        <v/>
      </c>
      <c r="D914" s="1" t="str">
        <f t="shared" ca="1" si="73"/>
        <v/>
      </c>
      <c r="E914" s="13" t="str">
        <f t="shared" ca="1" si="74"/>
        <v>No ruin</v>
      </c>
      <c r="F914">
        <f t="shared" ca="1" si="75"/>
        <v>0</v>
      </c>
    </row>
    <row r="915" spans="1:6">
      <c r="A915" s="3" t="str">
        <f t="shared" ca="1" si="71"/>
        <v/>
      </c>
      <c r="B915" s="2" t="str">
        <f t="shared" ca="1" si="72"/>
        <v/>
      </c>
      <c r="C915" s="2" t="str">
        <f ca="1">IF(E914="continue",SUM(B$8:B915),"")</f>
        <v/>
      </c>
      <c r="D915" s="1" t="str">
        <f t="shared" ca="1" si="73"/>
        <v/>
      </c>
      <c r="E915" s="13" t="str">
        <f t="shared" ca="1" si="74"/>
        <v>No ruin</v>
      </c>
      <c r="F915">
        <f t="shared" ca="1" si="75"/>
        <v>0</v>
      </c>
    </row>
    <row r="916" spans="1:6">
      <c r="A916" s="3" t="str">
        <f t="shared" ca="1" si="71"/>
        <v/>
      </c>
      <c r="B916" s="2" t="str">
        <f t="shared" ca="1" si="72"/>
        <v/>
      </c>
      <c r="C916" s="2" t="str">
        <f ca="1">IF(E915="continue",SUM(B$8:B916),"")</f>
        <v/>
      </c>
      <c r="D916" s="1" t="str">
        <f t="shared" ca="1" si="73"/>
        <v/>
      </c>
      <c r="E916" s="13" t="str">
        <f t="shared" ca="1" si="74"/>
        <v>No ruin</v>
      </c>
      <c r="F916">
        <f t="shared" ca="1" si="75"/>
        <v>0</v>
      </c>
    </row>
    <row r="917" spans="1:6">
      <c r="A917" s="3" t="str">
        <f t="shared" ca="1" si="71"/>
        <v/>
      </c>
      <c r="B917" s="2" t="str">
        <f t="shared" ca="1" si="72"/>
        <v/>
      </c>
      <c r="C917" s="2" t="str">
        <f ca="1">IF(E916="continue",SUM(B$8:B917),"")</f>
        <v/>
      </c>
      <c r="D917" s="1" t="str">
        <f t="shared" ca="1" si="73"/>
        <v/>
      </c>
      <c r="E917" s="13" t="str">
        <f t="shared" ca="1" si="74"/>
        <v>No ruin</v>
      </c>
      <c r="F917">
        <f t="shared" ca="1" si="75"/>
        <v>0</v>
      </c>
    </row>
    <row r="918" spans="1:6">
      <c r="A918" s="3" t="str">
        <f t="shared" ca="1" si="71"/>
        <v/>
      </c>
      <c r="B918" s="2" t="str">
        <f t="shared" ca="1" si="72"/>
        <v/>
      </c>
      <c r="C918" s="2" t="str">
        <f ca="1">IF(E917="continue",SUM(B$8:B918),"")</f>
        <v/>
      </c>
      <c r="D918" s="1" t="str">
        <f t="shared" ca="1" si="73"/>
        <v/>
      </c>
      <c r="E918" s="13" t="str">
        <f t="shared" ca="1" si="74"/>
        <v>No ruin</v>
      </c>
      <c r="F918">
        <f t="shared" ca="1" si="75"/>
        <v>0</v>
      </c>
    </row>
    <row r="919" spans="1:6">
      <c r="A919" s="3" t="str">
        <f t="shared" ca="1" si="71"/>
        <v/>
      </c>
      <c r="B919" s="2" t="str">
        <f t="shared" ca="1" si="72"/>
        <v/>
      </c>
      <c r="C919" s="2" t="str">
        <f ca="1">IF(E918="continue",SUM(B$8:B919),"")</f>
        <v/>
      </c>
      <c r="D919" s="1" t="str">
        <f t="shared" ca="1" si="73"/>
        <v/>
      </c>
      <c r="E919" s="13" t="str">
        <f t="shared" ca="1" si="74"/>
        <v>No ruin</v>
      </c>
      <c r="F919">
        <f t="shared" ca="1" si="75"/>
        <v>0</v>
      </c>
    </row>
    <row r="920" spans="1:6">
      <c r="A920" s="3" t="str">
        <f t="shared" ca="1" si="71"/>
        <v/>
      </c>
      <c r="B920" s="2" t="str">
        <f t="shared" ca="1" si="72"/>
        <v/>
      </c>
      <c r="C920" s="2" t="str">
        <f ca="1">IF(E919="continue",SUM(B$8:B920),"")</f>
        <v/>
      </c>
      <c r="D920" s="1" t="str">
        <f t="shared" ca="1" si="73"/>
        <v/>
      </c>
      <c r="E920" s="13" t="str">
        <f t="shared" ca="1" si="74"/>
        <v>No ruin</v>
      </c>
      <c r="F920">
        <f t="shared" ca="1" si="75"/>
        <v>0</v>
      </c>
    </row>
    <row r="921" spans="1:6">
      <c r="A921" s="3" t="str">
        <f t="shared" ca="1" si="71"/>
        <v/>
      </c>
      <c r="B921" s="2" t="str">
        <f t="shared" ca="1" si="72"/>
        <v/>
      </c>
      <c r="C921" s="2" t="str">
        <f ca="1">IF(E920="continue",SUM(B$8:B921),"")</f>
        <v/>
      </c>
      <c r="D921" s="1" t="str">
        <f t="shared" ca="1" si="73"/>
        <v/>
      </c>
      <c r="E921" s="13" t="str">
        <f t="shared" ca="1" si="74"/>
        <v>No ruin</v>
      </c>
      <c r="F921">
        <f t="shared" ca="1" si="75"/>
        <v>0</v>
      </c>
    </row>
    <row r="922" spans="1:6">
      <c r="A922" s="3" t="str">
        <f t="shared" ca="1" si="71"/>
        <v/>
      </c>
      <c r="B922" s="2" t="str">
        <f t="shared" ca="1" si="72"/>
        <v/>
      </c>
      <c r="C922" s="2" t="str">
        <f ca="1">IF(E921="continue",SUM(B$8:B922),"")</f>
        <v/>
      </c>
      <c r="D922" s="1" t="str">
        <f t="shared" ca="1" si="73"/>
        <v/>
      </c>
      <c r="E922" s="13" t="str">
        <f t="shared" ca="1" si="74"/>
        <v>No ruin</v>
      </c>
      <c r="F922">
        <f t="shared" ca="1" si="75"/>
        <v>0</v>
      </c>
    </row>
    <row r="923" spans="1:6">
      <c r="A923" s="3" t="str">
        <f t="shared" ca="1" si="71"/>
        <v/>
      </c>
      <c r="B923" s="2" t="str">
        <f t="shared" ca="1" si="72"/>
        <v/>
      </c>
      <c r="C923" s="2" t="str">
        <f ca="1">IF(E922="continue",SUM(B$8:B923),"")</f>
        <v/>
      </c>
      <c r="D923" s="1" t="str">
        <f t="shared" ca="1" si="73"/>
        <v/>
      </c>
      <c r="E923" s="13" t="str">
        <f t="shared" ca="1" si="74"/>
        <v>No ruin</v>
      </c>
      <c r="F923">
        <f t="shared" ca="1" si="75"/>
        <v>0</v>
      </c>
    </row>
    <row r="924" spans="1:6">
      <c r="A924" s="3" t="str">
        <f t="shared" ref="A924:A987" ca="1" si="76">IF(E923="continue",-LN(1-RAND())*O$3+A923,"")</f>
        <v/>
      </c>
      <c r="B924" s="2" t="str">
        <f t="shared" ref="B924:B987" ca="1" si="77">IF(E923="continue",-LN(1-RAND())*M$3,"")</f>
        <v/>
      </c>
      <c r="C924" s="2" t="str">
        <f ca="1">IF(E923="continue",SUM(B$8:B924),"")</f>
        <v/>
      </c>
      <c r="D924" s="1" t="str">
        <f t="shared" ref="D924:D987" ca="1" si="78">IF(E923="continue",(1+J$1)*(1/O$3)*M$3*A924,"")</f>
        <v/>
      </c>
      <c r="E924" s="13" t="str">
        <f t="shared" ref="E924:E987" ca="1" si="79">IF(A924&gt;G$1,"No ruin",IF(AND(A924&lt;=G$1,C924&gt;J$4+D924),"RUIN","continue"))</f>
        <v>No ruin</v>
      </c>
      <c r="F924">
        <f t="shared" ca="1" si="75"/>
        <v>0</v>
      </c>
    </row>
    <row r="925" spans="1:6">
      <c r="A925" s="3" t="str">
        <f t="shared" ca="1" si="76"/>
        <v/>
      </c>
      <c r="B925" s="2" t="str">
        <f t="shared" ca="1" si="77"/>
        <v/>
      </c>
      <c r="C925" s="2" t="str">
        <f ca="1">IF(E924="continue",SUM(B$8:B925),"")</f>
        <v/>
      </c>
      <c r="D925" s="1" t="str">
        <f t="shared" ca="1" si="78"/>
        <v/>
      </c>
      <c r="E925" s="13" t="str">
        <f t="shared" ca="1" si="79"/>
        <v>No ruin</v>
      </c>
      <c r="F925">
        <f t="shared" ca="1" si="75"/>
        <v>0</v>
      </c>
    </row>
    <row r="926" spans="1:6">
      <c r="A926" s="3" t="str">
        <f t="shared" ca="1" si="76"/>
        <v/>
      </c>
      <c r="B926" s="2" t="str">
        <f t="shared" ca="1" si="77"/>
        <v/>
      </c>
      <c r="C926" s="2" t="str">
        <f ca="1">IF(E925="continue",SUM(B$8:B926),"")</f>
        <v/>
      </c>
      <c r="D926" s="1" t="str">
        <f t="shared" ca="1" si="78"/>
        <v/>
      </c>
      <c r="E926" s="13" t="str">
        <f t="shared" ca="1" si="79"/>
        <v>No ruin</v>
      </c>
      <c r="F926">
        <f t="shared" ca="1" si="75"/>
        <v>0</v>
      </c>
    </row>
    <row r="927" spans="1:6">
      <c r="A927" s="3" t="str">
        <f t="shared" ca="1" si="76"/>
        <v/>
      </c>
      <c r="B927" s="2" t="str">
        <f t="shared" ca="1" si="77"/>
        <v/>
      </c>
      <c r="C927" s="2" t="str">
        <f ca="1">IF(E926="continue",SUM(B$8:B927),"")</f>
        <v/>
      </c>
      <c r="D927" s="1" t="str">
        <f t="shared" ca="1" si="78"/>
        <v/>
      </c>
      <c r="E927" s="13" t="str">
        <f t="shared" ca="1" si="79"/>
        <v>No ruin</v>
      </c>
      <c r="F927">
        <f t="shared" ca="1" si="75"/>
        <v>0</v>
      </c>
    </row>
    <row r="928" spans="1:6">
      <c r="A928" s="3" t="str">
        <f t="shared" ca="1" si="76"/>
        <v/>
      </c>
      <c r="B928" s="2" t="str">
        <f t="shared" ca="1" si="77"/>
        <v/>
      </c>
      <c r="C928" s="2" t="str">
        <f ca="1">IF(E927="continue",SUM(B$8:B928),"")</f>
        <v/>
      </c>
      <c r="D928" s="1" t="str">
        <f t="shared" ca="1" si="78"/>
        <v/>
      </c>
      <c r="E928" s="13" t="str">
        <f t="shared" ca="1" si="79"/>
        <v>No ruin</v>
      </c>
      <c r="F928">
        <f t="shared" ca="1" si="75"/>
        <v>0</v>
      </c>
    </row>
    <row r="929" spans="1:6">
      <c r="A929" s="3" t="str">
        <f t="shared" ca="1" si="76"/>
        <v/>
      </c>
      <c r="B929" s="2" t="str">
        <f t="shared" ca="1" si="77"/>
        <v/>
      </c>
      <c r="C929" s="2" t="str">
        <f ca="1">IF(E928="continue",SUM(B$8:B929),"")</f>
        <v/>
      </c>
      <c r="D929" s="1" t="str">
        <f t="shared" ca="1" si="78"/>
        <v/>
      </c>
      <c r="E929" s="13" t="str">
        <f t="shared" ca="1" si="79"/>
        <v>No ruin</v>
      </c>
      <c r="F929">
        <f t="shared" ca="1" si="75"/>
        <v>0</v>
      </c>
    </row>
    <row r="930" spans="1:6">
      <c r="A930" s="3" t="str">
        <f t="shared" ca="1" si="76"/>
        <v/>
      </c>
      <c r="B930" s="2" t="str">
        <f t="shared" ca="1" si="77"/>
        <v/>
      </c>
      <c r="C930" s="2" t="str">
        <f ca="1">IF(E929="continue",SUM(B$8:B930),"")</f>
        <v/>
      </c>
      <c r="D930" s="1" t="str">
        <f t="shared" ca="1" si="78"/>
        <v/>
      </c>
      <c r="E930" s="13" t="str">
        <f t="shared" ca="1" si="79"/>
        <v>No ruin</v>
      </c>
      <c r="F930">
        <f t="shared" ca="1" si="75"/>
        <v>0</v>
      </c>
    </row>
    <row r="931" spans="1:6">
      <c r="A931" s="3" t="str">
        <f t="shared" ca="1" si="76"/>
        <v/>
      </c>
      <c r="B931" s="2" t="str">
        <f t="shared" ca="1" si="77"/>
        <v/>
      </c>
      <c r="C931" s="2" t="str">
        <f ca="1">IF(E930="continue",SUM(B$8:B931),"")</f>
        <v/>
      </c>
      <c r="D931" s="1" t="str">
        <f t="shared" ca="1" si="78"/>
        <v/>
      </c>
      <c r="E931" s="13" t="str">
        <f t="shared" ca="1" si="79"/>
        <v>No ruin</v>
      </c>
      <c r="F931">
        <f t="shared" ca="1" si="75"/>
        <v>0</v>
      </c>
    </row>
    <row r="932" spans="1:6">
      <c r="A932" s="3" t="str">
        <f t="shared" ca="1" si="76"/>
        <v/>
      </c>
      <c r="B932" s="2" t="str">
        <f t="shared" ca="1" si="77"/>
        <v/>
      </c>
      <c r="C932" s="2" t="str">
        <f ca="1">IF(E931="continue",SUM(B$8:B932),"")</f>
        <v/>
      </c>
      <c r="D932" s="1" t="str">
        <f t="shared" ca="1" si="78"/>
        <v/>
      </c>
      <c r="E932" s="13" t="str">
        <f t="shared" ca="1" si="79"/>
        <v>No ruin</v>
      </c>
      <c r="F932">
        <f t="shared" ca="1" si="75"/>
        <v>0</v>
      </c>
    </row>
    <row r="933" spans="1:6">
      <c r="A933" s="3" t="str">
        <f t="shared" ca="1" si="76"/>
        <v/>
      </c>
      <c r="B933" s="2" t="str">
        <f t="shared" ca="1" si="77"/>
        <v/>
      </c>
      <c r="C933" s="2" t="str">
        <f ca="1">IF(E932="continue",SUM(B$8:B933),"")</f>
        <v/>
      </c>
      <c r="D933" s="1" t="str">
        <f t="shared" ca="1" si="78"/>
        <v/>
      </c>
      <c r="E933" s="13" t="str">
        <f t="shared" ca="1" si="79"/>
        <v>No ruin</v>
      </c>
      <c r="F933">
        <f t="shared" ca="1" si="75"/>
        <v>0</v>
      </c>
    </row>
    <row r="934" spans="1:6">
      <c r="A934" s="3" t="str">
        <f t="shared" ca="1" si="76"/>
        <v/>
      </c>
      <c r="B934" s="2" t="str">
        <f t="shared" ca="1" si="77"/>
        <v/>
      </c>
      <c r="C934" s="2" t="str">
        <f ca="1">IF(E933="continue",SUM(B$8:B934),"")</f>
        <v/>
      </c>
      <c r="D934" s="1" t="str">
        <f t="shared" ca="1" si="78"/>
        <v/>
      </c>
      <c r="E934" s="13" t="str">
        <f t="shared" ca="1" si="79"/>
        <v>No ruin</v>
      </c>
      <c r="F934">
        <f t="shared" ca="1" si="75"/>
        <v>0</v>
      </c>
    </row>
    <row r="935" spans="1:6">
      <c r="A935" s="3" t="str">
        <f t="shared" ca="1" si="76"/>
        <v/>
      </c>
      <c r="B935" s="2" t="str">
        <f t="shared" ca="1" si="77"/>
        <v/>
      </c>
      <c r="C935" s="2" t="str">
        <f ca="1">IF(E934="continue",SUM(B$8:B935),"")</f>
        <v/>
      </c>
      <c r="D935" s="1" t="str">
        <f t="shared" ca="1" si="78"/>
        <v/>
      </c>
      <c r="E935" s="13" t="str">
        <f t="shared" ca="1" si="79"/>
        <v>No ruin</v>
      </c>
      <c r="F935">
        <f t="shared" ca="1" si="75"/>
        <v>0</v>
      </c>
    </row>
    <row r="936" spans="1:6">
      <c r="A936" s="3" t="str">
        <f t="shared" ca="1" si="76"/>
        <v/>
      </c>
      <c r="B936" s="2" t="str">
        <f t="shared" ca="1" si="77"/>
        <v/>
      </c>
      <c r="C936" s="2" t="str">
        <f ca="1">IF(E935="continue",SUM(B$8:B936),"")</f>
        <v/>
      </c>
      <c r="D936" s="1" t="str">
        <f t="shared" ca="1" si="78"/>
        <v/>
      </c>
      <c r="E936" s="13" t="str">
        <f t="shared" ca="1" si="79"/>
        <v>No ruin</v>
      </c>
      <c r="F936">
        <f t="shared" ca="1" si="75"/>
        <v>0</v>
      </c>
    </row>
    <row r="937" spans="1:6">
      <c r="A937" s="3" t="str">
        <f t="shared" ca="1" si="76"/>
        <v/>
      </c>
      <c r="B937" s="2" t="str">
        <f t="shared" ca="1" si="77"/>
        <v/>
      </c>
      <c r="C937" s="2" t="str">
        <f ca="1">IF(E936="continue",SUM(B$8:B937),"")</f>
        <v/>
      </c>
      <c r="D937" s="1" t="str">
        <f t="shared" ca="1" si="78"/>
        <v/>
      </c>
      <c r="E937" s="13" t="str">
        <f t="shared" ca="1" si="79"/>
        <v>No ruin</v>
      </c>
      <c r="F937">
        <f t="shared" ca="1" si="75"/>
        <v>0</v>
      </c>
    </row>
    <row r="938" spans="1:6">
      <c r="A938" s="3" t="str">
        <f t="shared" ca="1" si="76"/>
        <v/>
      </c>
      <c r="B938" s="2" t="str">
        <f t="shared" ca="1" si="77"/>
        <v/>
      </c>
      <c r="C938" s="2" t="str">
        <f ca="1">IF(E937="continue",SUM(B$8:B938),"")</f>
        <v/>
      </c>
      <c r="D938" s="1" t="str">
        <f t="shared" ca="1" si="78"/>
        <v/>
      </c>
      <c r="E938" s="13" t="str">
        <f t="shared" ca="1" si="79"/>
        <v>No ruin</v>
      </c>
      <c r="F938">
        <f t="shared" ca="1" si="75"/>
        <v>0</v>
      </c>
    </row>
    <row r="939" spans="1:6">
      <c r="A939" s="3" t="str">
        <f t="shared" ca="1" si="76"/>
        <v/>
      </c>
      <c r="B939" s="2" t="str">
        <f t="shared" ca="1" si="77"/>
        <v/>
      </c>
      <c r="C939" s="2" t="str">
        <f ca="1">IF(E938="continue",SUM(B$8:B939),"")</f>
        <v/>
      </c>
      <c r="D939" s="1" t="str">
        <f t="shared" ca="1" si="78"/>
        <v/>
      </c>
      <c r="E939" s="13" t="str">
        <f t="shared" ca="1" si="79"/>
        <v>No ruin</v>
      </c>
      <c r="F939">
        <f t="shared" ca="1" si="75"/>
        <v>0</v>
      </c>
    </row>
    <row r="940" spans="1:6">
      <c r="A940" s="3" t="str">
        <f t="shared" ca="1" si="76"/>
        <v/>
      </c>
      <c r="B940" s="2" t="str">
        <f t="shared" ca="1" si="77"/>
        <v/>
      </c>
      <c r="C940" s="2" t="str">
        <f ca="1">IF(E939="continue",SUM(B$8:B940),"")</f>
        <v/>
      </c>
      <c r="D940" s="1" t="str">
        <f t="shared" ca="1" si="78"/>
        <v/>
      </c>
      <c r="E940" s="13" t="str">
        <f t="shared" ca="1" si="79"/>
        <v>No ruin</v>
      </c>
      <c r="F940">
        <f t="shared" ca="1" si="75"/>
        <v>0</v>
      </c>
    </row>
    <row r="941" spans="1:6">
      <c r="A941" s="3" t="str">
        <f t="shared" ca="1" si="76"/>
        <v/>
      </c>
      <c r="B941" s="2" t="str">
        <f t="shared" ca="1" si="77"/>
        <v/>
      </c>
      <c r="C941" s="2" t="str">
        <f ca="1">IF(E940="continue",SUM(B$8:B941),"")</f>
        <v/>
      </c>
      <c r="D941" s="1" t="str">
        <f t="shared" ca="1" si="78"/>
        <v/>
      </c>
      <c r="E941" s="13" t="str">
        <f t="shared" ca="1" si="79"/>
        <v>No ruin</v>
      </c>
      <c r="F941">
        <f t="shared" ca="1" si="75"/>
        <v>0</v>
      </c>
    </row>
    <row r="942" spans="1:6">
      <c r="A942" s="3" t="str">
        <f t="shared" ca="1" si="76"/>
        <v/>
      </c>
      <c r="B942" s="2" t="str">
        <f t="shared" ca="1" si="77"/>
        <v/>
      </c>
      <c r="C942" s="2" t="str">
        <f ca="1">IF(E941="continue",SUM(B$8:B942),"")</f>
        <v/>
      </c>
      <c r="D942" s="1" t="str">
        <f t="shared" ca="1" si="78"/>
        <v/>
      </c>
      <c r="E942" s="13" t="str">
        <f t="shared" ca="1" si="79"/>
        <v>No ruin</v>
      </c>
      <c r="F942">
        <f t="shared" ca="1" si="75"/>
        <v>0</v>
      </c>
    </row>
    <row r="943" spans="1:6">
      <c r="A943" s="3" t="str">
        <f t="shared" ca="1" si="76"/>
        <v/>
      </c>
      <c r="B943" s="2" t="str">
        <f t="shared" ca="1" si="77"/>
        <v/>
      </c>
      <c r="C943" s="2" t="str">
        <f ca="1">IF(E942="continue",SUM(B$8:B943),"")</f>
        <v/>
      </c>
      <c r="D943" s="1" t="str">
        <f t="shared" ca="1" si="78"/>
        <v/>
      </c>
      <c r="E943" s="13" t="str">
        <f t="shared" ca="1" si="79"/>
        <v>No ruin</v>
      </c>
      <c r="F943">
        <f t="shared" ca="1" si="75"/>
        <v>0</v>
      </c>
    </row>
    <row r="944" spans="1:6">
      <c r="A944" s="3" t="str">
        <f t="shared" ca="1" si="76"/>
        <v/>
      </c>
      <c r="B944" s="2" t="str">
        <f t="shared" ca="1" si="77"/>
        <v/>
      </c>
      <c r="C944" s="2" t="str">
        <f ca="1">IF(E943="continue",SUM(B$8:B944),"")</f>
        <v/>
      </c>
      <c r="D944" s="1" t="str">
        <f t="shared" ca="1" si="78"/>
        <v/>
      </c>
      <c r="E944" s="13" t="str">
        <f t="shared" ca="1" si="79"/>
        <v>No ruin</v>
      </c>
      <c r="F944">
        <f t="shared" ca="1" si="75"/>
        <v>0</v>
      </c>
    </row>
    <row r="945" spans="1:6">
      <c r="A945" s="3" t="str">
        <f t="shared" ca="1" si="76"/>
        <v/>
      </c>
      <c r="B945" s="2" t="str">
        <f t="shared" ca="1" si="77"/>
        <v/>
      </c>
      <c r="C945" s="2" t="str">
        <f ca="1">IF(E944="continue",SUM(B$8:B945),"")</f>
        <v/>
      </c>
      <c r="D945" s="1" t="str">
        <f t="shared" ca="1" si="78"/>
        <v/>
      </c>
      <c r="E945" s="13" t="str">
        <f t="shared" ca="1" si="79"/>
        <v>No ruin</v>
      </c>
      <c r="F945">
        <f t="shared" ca="1" si="75"/>
        <v>0</v>
      </c>
    </row>
    <row r="946" spans="1:6">
      <c r="A946" s="3" t="str">
        <f t="shared" ca="1" si="76"/>
        <v/>
      </c>
      <c r="B946" s="2" t="str">
        <f t="shared" ca="1" si="77"/>
        <v/>
      </c>
      <c r="C946" s="2" t="str">
        <f ca="1">IF(E945="continue",SUM(B$8:B946),"")</f>
        <v/>
      </c>
      <c r="D946" s="1" t="str">
        <f t="shared" ca="1" si="78"/>
        <v/>
      </c>
      <c r="E946" s="13" t="str">
        <f t="shared" ca="1" si="79"/>
        <v>No ruin</v>
      </c>
      <c r="F946">
        <f t="shared" ca="1" si="75"/>
        <v>0</v>
      </c>
    </row>
    <row r="947" spans="1:6">
      <c r="A947" s="3" t="str">
        <f t="shared" ca="1" si="76"/>
        <v/>
      </c>
      <c r="B947" s="2" t="str">
        <f t="shared" ca="1" si="77"/>
        <v/>
      </c>
      <c r="C947" s="2" t="str">
        <f ca="1">IF(E946="continue",SUM(B$8:B947),"")</f>
        <v/>
      </c>
      <c r="D947" s="1" t="str">
        <f t="shared" ca="1" si="78"/>
        <v/>
      </c>
      <c r="E947" s="13" t="str">
        <f t="shared" ca="1" si="79"/>
        <v>No ruin</v>
      </c>
      <c r="F947">
        <f t="shared" ca="1" si="75"/>
        <v>0</v>
      </c>
    </row>
    <row r="948" spans="1:6">
      <c r="A948" s="3" t="str">
        <f t="shared" ca="1" si="76"/>
        <v/>
      </c>
      <c r="B948" s="2" t="str">
        <f t="shared" ca="1" si="77"/>
        <v/>
      </c>
      <c r="C948" s="2" t="str">
        <f ca="1">IF(E947="continue",SUM(B$8:B948),"")</f>
        <v/>
      </c>
      <c r="D948" s="1" t="str">
        <f t="shared" ca="1" si="78"/>
        <v/>
      </c>
      <c r="E948" s="13" t="str">
        <f t="shared" ca="1" si="79"/>
        <v>No ruin</v>
      </c>
      <c r="F948">
        <f t="shared" ca="1" si="75"/>
        <v>0</v>
      </c>
    </row>
    <row r="949" spans="1:6">
      <c r="A949" s="3" t="str">
        <f t="shared" ca="1" si="76"/>
        <v/>
      </c>
      <c r="B949" s="2" t="str">
        <f t="shared" ca="1" si="77"/>
        <v/>
      </c>
      <c r="C949" s="2" t="str">
        <f ca="1">IF(E948="continue",SUM(B$8:B949),"")</f>
        <v/>
      </c>
      <c r="D949" s="1" t="str">
        <f t="shared" ca="1" si="78"/>
        <v/>
      </c>
      <c r="E949" s="13" t="str">
        <f t="shared" ca="1" si="79"/>
        <v>No ruin</v>
      </c>
      <c r="F949">
        <f t="shared" ca="1" si="75"/>
        <v>0</v>
      </c>
    </row>
    <row r="950" spans="1:6">
      <c r="A950" s="3" t="str">
        <f t="shared" ca="1" si="76"/>
        <v/>
      </c>
      <c r="B950" s="2" t="str">
        <f t="shared" ca="1" si="77"/>
        <v/>
      </c>
      <c r="C950" s="2" t="str">
        <f ca="1">IF(E949="continue",SUM(B$8:B950),"")</f>
        <v/>
      </c>
      <c r="D950" s="1" t="str">
        <f t="shared" ca="1" si="78"/>
        <v/>
      </c>
      <c r="E950" s="13" t="str">
        <f t="shared" ca="1" si="79"/>
        <v>No ruin</v>
      </c>
      <c r="F950">
        <f t="shared" ca="1" si="75"/>
        <v>0</v>
      </c>
    </row>
    <row r="951" spans="1:6">
      <c r="A951" s="3" t="str">
        <f t="shared" ca="1" si="76"/>
        <v/>
      </c>
      <c r="B951" s="2" t="str">
        <f t="shared" ca="1" si="77"/>
        <v/>
      </c>
      <c r="C951" s="2" t="str">
        <f ca="1">IF(E950="continue",SUM(B$8:B951),"")</f>
        <v/>
      </c>
      <c r="D951" s="1" t="str">
        <f t="shared" ca="1" si="78"/>
        <v/>
      </c>
      <c r="E951" s="13" t="str">
        <f t="shared" ca="1" si="79"/>
        <v>No ruin</v>
      </c>
      <c r="F951">
        <f t="shared" ca="1" si="75"/>
        <v>0</v>
      </c>
    </row>
    <row r="952" spans="1:6">
      <c r="A952" s="3" t="str">
        <f t="shared" ca="1" si="76"/>
        <v/>
      </c>
      <c r="B952" s="2" t="str">
        <f t="shared" ca="1" si="77"/>
        <v/>
      </c>
      <c r="C952" s="2" t="str">
        <f ca="1">IF(E951="continue",SUM(B$8:B952),"")</f>
        <v/>
      </c>
      <c r="D952" s="1" t="str">
        <f t="shared" ca="1" si="78"/>
        <v/>
      </c>
      <c r="E952" s="13" t="str">
        <f t="shared" ca="1" si="79"/>
        <v>No ruin</v>
      </c>
      <c r="F952">
        <f t="shared" ca="1" si="75"/>
        <v>0</v>
      </c>
    </row>
    <row r="953" spans="1:6">
      <c r="A953" s="3" t="str">
        <f t="shared" ca="1" si="76"/>
        <v/>
      </c>
      <c r="B953" s="2" t="str">
        <f t="shared" ca="1" si="77"/>
        <v/>
      </c>
      <c r="C953" s="2" t="str">
        <f ca="1">IF(E952="continue",SUM(B$8:B953),"")</f>
        <v/>
      </c>
      <c r="D953" s="1" t="str">
        <f t="shared" ca="1" si="78"/>
        <v/>
      </c>
      <c r="E953" s="13" t="str">
        <f t="shared" ca="1" si="79"/>
        <v>No ruin</v>
      </c>
      <c r="F953">
        <f t="shared" ca="1" si="75"/>
        <v>0</v>
      </c>
    </row>
    <row r="954" spans="1:6">
      <c r="A954" s="3" t="str">
        <f t="shared" ca="1" si="76"/>
        <v/>
      </c>
      <c r="B954" s="2" t="str">
        <f t="shared" ca="1" si="77"/>
        <v/>
      </c>
      <c r="C954" s="2" t="str">
        <f ca="1">IF(E953="continue",SUM(B$8:B954),"")</f>
        <v/>
      </c>
      <c r="D954" s="1" t="str">
        <f t="shared" ca="1" si="78"/>
        <v/>
      </c>
      <c r="E954" s="13" t="str">
        <f t="shared" ca="1" si="79"/>
        <v>No ruin</v>
      </c>
      <c r="F954">
        <f t="shared" ca="1" si="75"/>
        <v>0</v>
      </c>
    </row>
    <row r="955" spans="1:6">
      <c r="A955" s="3" t="str">
        <f t="shared" ca="1" si="76"/>
        <v/>
      </c>
      <c r="B955" s="2" t="str">
        <f t="shared" ca="1" si="77"/>
        <v/>
      </c>
      <c r="C955" s="2" t="str">
        <f ca="1">IF(E954="continue",SUM(B$8:B955),"")</f>
        <v/>
      </c>
      <c r="D955" s="1" t="str">
        <f t="shared" ca="1" si="78"/>
        <v/>
      </c>
      <c r="E955" s="13" t="str">
        <f t="shared" ca="1" si="79"/>
        <v>No ruin</v>
      </c>
      <c r="F955">
        <f t="shared" ca="1" si="75"/>
        <v>0</v>
      </c>
    </row>
    <row r="956" spans="1:6">
      <c r="A956" s="3" t="str">
        <f t="shared" ca="1" si="76"/>
        <v/>
      </c>
      <c r="B956" s="2" t="str">
        <f t="shared" ca="1" si="77"/>
        <v/>
      </c>
      <c r="C956" s="2" t="str">
        <f ca="1">IF(E955="continue",SUM(B$8:B956),"")</f>
        <v/>
      </c>
      <c r="D956" s="1" t="str">
        <f t="shared" ca="1" si="78"/>
        <v/>
      </c>
      <c r="E956" s="13" t="str">
        <f t="shared" ca="1" si="79"/>
        <v>No ruin</v>
      </c>
      <c r="F956">
        <f t="shared" ca="1" si="75"/>
        <v>0</v>
      </c>
    </row>
    <row r="957" spans="1:6">
      <c r="A957" s="3" t="str">
        <f t="shared" ca="1" si="76"/>
        <v/>
      </c>
      <c r="B957" s="2" t="str">
        <f t="shared" ca="1" si="77"/>
        <v/>
      </c>
      <c r="C957" s="2" t="str">
        <f ca="1">IF(E956="continue",SUM(B$8:B957),"")</f>
        <v/>
      </c>
      <c r="D957" s="1" t="str">
        <f t="shared" ca="1" si="78"/>
        <v/>
      </c>
      <c r="E957" s="13" t="str">
        <f t="shared" ca="1" si="79"/>
        <v>No ruin</v>
      </c>
      <c r="F957">
        <f t="shared" ca="1" si="75"/>
        <v>0</v>
      </c>
    </row>
    <row r="958" spans="1:6">
      <c r="A958" s="3" t="str">
        <f t="shared" ca="1" si="76"/>
        <v/>
      </c>
      <c r="B958" s="2" t="str">
        <f t="shared" ca="1" si="77"/>
        <v/>
      </c>
      <c r="C958" s="2" t="str">
        <f ca="1">IF(E957="continue",SUM(B$8:B958),"")</f>
        <v/>
      </c>
      <c r="D958" s="1" t="str">
        <f t="shared" ca="1" si="78"/>
        <v/>
      </c>
      <c r="E958" s="13" t="str">
        <f t="shared" ca="1" si="79"/>
        <v>No ruin</v>
      </c>
      <c r="F958">
        <f t="shared" ca="1" si="75"/>
        <v>0</v>
      </c>
    </row>
    <row r="959" spans="1:6">
      <c r="A959" s="3" t="str">
        <f t="shared" ca="1" si="76"/>
        <v/>
      </c>
      <c r="B959" s="2" t="str">
        <f t="shared" ca="1" si="77"/>
        <v/>
      </c>
      <c r="C959" s="2" t="str">
        <f ca="1">IF(E958="continue",SUM(B$8:B959),"")</f>
        <v/>
      </c>
      <c r="D959" s="1" t="str">
        <f t="shared" ca="1" si="78"/>
        <v/>
      </c>
      <c r="E959" s="13" t="str">
        <f t="shared" ca="1" si="79"/>
        <v>No ruin</v>
      </c>
      <c r="F959">
        <f t="shared" ca="1" si="75"/>
        <v>0</v>
      </c>
    </row>
    <row r="960" spans="1:6">
      <c r="A960" s="3" t="str">
        <f t="shared" ca="1" si="76"/>
        <v/>
      </c>
      <c r="B960" s="2" t="str">
        <f t="shared" ca="1" si="77"/>
        <v/>
      </c>
      <c r="C960" s="2" t="str">
        <f ca="1">IF(E959="continue",SUM(B$8:B960),"")</f>
        <v/>
      </c>
      <c r="D960" s="1" t="str">
        <f t="shared" ca="1" si="78"/>
        <v/>
      </c>
      <c r="E960" s="13" t="str">
        <f t="shared" ca="1" si="79"/>
        <v>No ruin</v>
      </c>
      <c r="F960">
        <f t="shared" ca="1" si="75"/>
        <v>0</v>
      </c>
    </row>
    <row r="961" spans="1:6">
      <c r="A961" s="3" t="str">
        <f t="shared" ca="1" si="76"/>
        <v/>
      </c>
      <c r="B961" s="2" t="str">
        <f t="shared" ca="1" si="77"/>
        <v/>
      </c>
      <c r="C961" s="2" t="str">
        <f ca="1">IF(E960="continue",SUM(B$8:B961),"")</f>
        <v/>
      </c>
      <c r="D961" s="1" t="str">
        <f t="shared" ca="1" si="78"/>
        <v/>
      </c>
      <c r="E961" s="13" t="str">
        <f t="shared" ca="1" si="79"/>
        <v>No ruin</v>
      </c>
      <c r="F961">
        <f t="shared" ca="1" si="75"/>
        <v>0</v>
      </c>
    </row>
    <row r="962" spans="1:6">
      <c r="A962" s="3" t="str">
        <f t="shared" ca="1" si="76"/>
        <v/>
      </c>
      <c r="B962" s="2" t="str">
        <f t="shared" ca="1" si="77"/>
        <v/>
      </c>
      <c r="C962" s="2" t="str">
        <f ca="1">IF(E961="continue",SUM(B$8:B962),"")</f>
        <v/>
      </c>
      <c r="D962" s="1" t="str">
        <f t="shared" ca="1" si="78"/>
        <v/>
      </c>
      <c r="E962" s="13" t="str">
        <f t="shared" ca="1" si="79"/>
        <v>No ruin</v>
      </c>
      <c r="F962">
        <f t="shared" ca="1" si="75"/>
        <v>0</v>
      </c>
    </row>
    <row r="963" spans="1:6">
      <c r="A963" s="3" t="str">
        <f t="shared" ca="1" si="76"/>
        <v/>
      </c>
      <c r="B963" s="2" t="str">
        <f t="shared" ca="1" si="77"/>
        <v/>
      </c>
      <c r="C963" s="2" t="str">
        <f ca="1">IF(E962="continue",SUM(B$8:B963),"")</f>
        <v/>
      </c>
      <c r="D963" s="1" t="str">
        <f t="shared" ca="1" si="78"/>
        <v/>
      </c>
      <c r="E963" s="13" t="str">
        <f t="shared" ca="1" si="79"/>
        <v>No ruin</v>
      </c>
      <c r="F963">
        <f t="shared" ca="1" si="75"/>
        <v>0</v>
      </c>
    </row>
    <row r="964" spans="1:6">
      <c r="A964" s="3" t="str">
        <f t="shared" ca="1" si="76"/>
        <v/>
      </c>
      <c r="B964" s="2" t="str">
        <f t="shared" ca="1" si="77"/>
        <v/>
      </c>
      <c r="C964" s="2" t="str">
        <f ca="1">IF(E963="continue",SUM(B$8:B964),"")</f>
        <v/>
      </c>
      <c r="D964" s="1" t="str">
        <f t="shared" ca="1" si="78"/>
        <v/>
      </c>
      <c r="E964" s="13" t="str">
        <f t="shared" ca="1" si="79"/>
        <v>No ruin</v>
      </c>
      <c r="F964">
        <f t="shared" ca="1" si="75"/>
        <v>0</v>
      </c>
    </row>
    <row r="965" spans="1:6">
      <c r="A965" s="3" t="str">
        <f t="shared" ca="1" si="76"/>
        <v/>
      </c>
      <c r="B965" s="2" t="str">
        <f t="shared" ca="1" si="77"/>
        <v/>
      </c>
      <c r="C965" s="2" t="str">
        <f ca="1">IF(E964="continue",SUM(B$8:B965),"")</f>
        <v/>
      </c>
      <c r="D965" s="1" t="str">
        <f t="shared" ca="1" si="78"/>
        <v/>
      </c>
      <c r="E965" s="13" t="str">
        <f t="shared" ca="1" si="79"/>
        <v>No ruin</v>
      </c>
      <c r="F965">
        <f t="shared" ca="1" si="75"/>
        <v>0</v>
      </c>
    </row>
    <row r="966" spans="1:6">
      <c r="A966" s="3" t="str">
        <f t="shared" ca="1" si="76"/>
        <v/>
      </c>
      <c r="B966" s="2" t="str">
        <f t="shared" ca="1" si="77"/>
        <v/>
      </c>
      <c r="C966" s="2" t="str">
        <f ca="1">IF(E965="continue",SUM(B$8:B966),"")</f>
        <v/>
      </c>
      <c r="D966" s="1" t="str">
        <f t="shared" ca="1" si="78"/>
        <v/>
      </c>
      <c r="E966" s="13" t="str">
        <f t="shared" ca="1" si="79"/>
        <v>No ruin</v>
      </c>
      <c r="F966">
        <f t="shared" ca="1" si="75"/>
        <v>0</v>
      </c>
    </row>
    <row r="967" spans="1:6">
      <c r="A967" s="3" t="str">
        <f t="shared" ca="1" si="76"/>
        <v/>
      </c>
      <c r="B967" s="2" t="str">
        <f t="shared" ca="1" si="77"/>
        <v/>
      </c>
      <c r="C967" s="2" t="str">
        <f ca="1">IF(E966="continue",SUM(B$8:B967),"")</f>
        <v/>
      </c>
      <c r="D967" s="1" t="str">
        <f t="shared" ca="1" si="78"/>
        <v/>
      </c>
      <c r="E967" s="13" t="str">
        <f t="shared" ca="1" si="79"/>
        <v>No ruin</v>
      </c>
      <c r="F967">
        <f t="shared" ca="1" si="75"/>
        <v>0</v>
      </c>
    </row>
    <row r="968" spans="1:6">
      <c r="A968" s="3" t="str">
        <f t="shared" ca="1" si="76"/>
        <v/>
      </c>
      <c r="B968" s="2" t="str">
        <f t="shared" ca="1" si="77"/>
        <v/>
      </c>
      <c r="C968" s="2" t="str">
        <f ca="1">IF(E967="continue",SUM(B$8:B968),"")</f>
        <v/>
      </c>
      <c r="D968" s="1" t="str">
        <f t="shared" ca="1" si="78"/>
        <v/>
      </c>
      <c r="E968" s="13" t="str">
        <f t="shared" ca="1" si="79"/>
        <v>No ruin</v>
      </c>
      <c r="F968">
        <f t="shared" ca="1" si="75"/>
        <v>0</v>
      </c>
    </row>
    <row r="969" spans="1:6">
      <c r="A969" s="3" t="str">
        <f t="shared" ca="1" si="76"/>
        <v/>
      </c>
      <c r="B969" s="2" t="str">
        <f t="shared" ca="1" si="77"/>
        <v/>
      </c>
      <c r="C969" s="2" t="str">
        <f ca="1">IF(E968="continue",SUM(B$8:B969),"")</f>
        <v/>
      </c>
      <c r="D969" s="1" t="str">
        <f t="shared" ca="1" si="78"/>
        <v/>
      </c>
      <c r="E969" s="13" t="str">
        <f t="shared" ca="1" si="79"/>
        <v>No ruin</v>
      </c>
      <c r="F969">
        <f t="shared" ca="1" si="75"/>
        <v>0</v>
      </c>
    </row>
    <row r="970" spans="1:6">
      <c r="A970" s="3" t="str">
        <f t="shared" ca="1" si="76"/>
        <v/>
      </c>
      <c r="B970" s="2" t="str">
        <f t="shared" ca="1" si="77"/>
        <v/>
      </c>
      <c r="C970" s="2" t="str">
        <f ca="1">IF(E969="continue",SUM(B$8:B970),"")</f>
        <v/>
      </c>
      <c r="D970" s="1" t="str">
        <f t="shared" ca="1" si="78"/>
        <v/>
      </c>
      <c r="E970" s="13" t="str">
        <f t="shared" ca="1" si="79"/>
        <v>No ruin</v>
      </c>
      <c r="F970">
        <f t="shared" ref="F970:F1033" ca="1" si="80">IF(E970="RUIN",1,0)</f>
        <v>0</v>
      </c>
    </row>
    <row r="971" spans="1:6">
      <c r="A971" s="3" t="str">
        <f t="shared" ca="1" si="76"/>
        <v/>
      </c>
      <c r="B971" s="2" t="str">
        <f t="shared" ca="1" si="77"/>
        <v/>
      </c>
      <c r="C971" s="2" t="str">
        <f ca="1">IF(E970="continue",SUM(B$8:B971),"")</f>
        <v/>
      </c>
      <c r="D971" s="1" t="str">
        <f t="shared" ca="1" si="78"/>
        <v/>
      </c>
      <c r="E971" s="13" t="str">
        <f t="shared" ca="1" si="79"/>
        <v>No ruin</v>
      </c>
      <c r="F971">
        <f t="shared" ca="1" si="80"/>
        <v>0</v>
      </c>
    </row>
    <row r="972" spans="1:6">
      <c r="A972" s="3" t="str">
        <f t="shared" ca="1" si="76"/>
        <v/>
      </c>
      <c r="B972" s="2" t="str">
        <f t="shared" ca="1" si="77"/>
        <v/>
      </c>
      <c r="C972" s="2" t="str">
        <f ca="1">IF(E971="continue",SUM(B$8:B972),"")</f>
        <v/>
      </c>
      <c r="D972" s="1" t="str">
        <f t="shared" ca="1" si="78"/>
        <v/>
      </c>
      <c r="E972" s="13" t="str">
        <f t="shared" ca="1" si="79"/>
        <v>No ruin</v>
      </c>
      <c r="F972">
        <f t="shared" ca="1" si="80"/>
        <v>0</v>
      </c>
    </row>
    <row r="973" spans="1:6">
      <c r="A973" s="3" t="str">
        <f t="shared" ca="1" si="76"/>
        <v/>
      </c>
      <c r="B973" s="2" t="str">
        <f t="shared" ca="1" si="77"/>
        <v/>
      </c>
      <c r="C973" s="2" t="str">
        <f ca="1">IF(E972="continue",SUM(B$8:B973),"")</f>
        <v/>
      </c>
      <c r="D973" s="1" t="str">
        <f t="shared" ca="1" si="78"/>
        <v/>
      </c>
      <c r="E973" s="13" t="str">
        <f t="shared" ca="1" si="79"/>
        <v>No ruin</v>
      </c>
      <c r="F973">
        <f t="shared" ca="1" si="80"/>
        <v>0</v>
      </c>
    </row>
    <row r="974" spans="1:6">
      <c r="A974" s="3" t="str">
        <f t="shared" ca="1" si="76"/>
        <v/>
      </c>
      <c r="B974" s="2" t="str">
        <f t="shared" ca="1" si="77"/>
        <v/>
      </c>
      <c r="C974" s="2" t="str">
        <f ca="1">IF(E973="continue",SUM(B$8:B974),"")</f>
        <v/>
      </c>
      <c r="D974" s="1" t="str">
        <f t="shared" ca="1" si="78"/>
        <v/>
      </c>
      <c r="E974" s="13" t="str">
        <f t="shared" ca="1" si="79"/>
        <v>No ruin</v>
      </c>
      <c r="F974">
        <f t="shared" ca="1" si="80"/>
        <v>0</v>
      </c>
    </row>
    <row r="975" spans="1:6">
      <c r="A975" s="3" t="str">
        <f t="shared" ca="1" si="76"/>
        <v/>
      </c>
      <c r="B975" s="2" t="str">
        <f t="shared" ca="1" si="77"/>
        <v/>
      </c>
      <c r="C975" s="2" t="str">
        <f ca="1">IF(E974="continue",SUM(B$8:B975),"")</f>
        <v/>
      </c>
      <c r="D975" s="1" t="str">
        <f t="shared" ca="1" si="78"/>
        <v/>
      </c>
      <c r="E975" s="13" t="str">
        <f t="shared" ca="1" si="79"/>
        <v>No ruin</v>
      </c>
      <c r="F975">
        <f t="shared" ca="1" si="80"/>
        <v>0</v>
      </c>
    </row>
    <row r="976" spans="1:6">
      <c r="A976" s="3" t="str">
        <f t="shared" ca="1" si="76"/>
        <v/>
      </c>
      <c r="B976" s="2" t="str">
        <f t="shared" ca="1" si="77"/>
        <v/>
      </c>
      <c r="C976" s="2" t="str">
        <f ca="1">IF(E975="continue",SUM(B$8:B976),"")</f>
        <v/>
      </c>
      <c r="D976" s="1" t="str">
        <f t="shared" ca="1" si="78"/>
        <v/>
      </c>
      <c r="E976" s="13" t="str">
        <f t="shared" ca="1" si="79"/>
        <v>No ruin</v>
      </c>
      <c r="F976">
        <f t="shared" ca="1" si="80"/>
        <v>0</v>
      </c>
    </row>
    <row r="977" spans="1:6">
      <c r="A977" s="3" t="str">
        <f t="shared" ca="1" si="76"/>
        <v/>
      </c>
      <c r="B977" s="2" t="str">
        <f t="shared" ca="1" si="77"/>
        <v/>
      </c>
      <c r="C977" s="2" t="str">
        <f ca="1">IF(E976="continue",SUM(B$8:B977),"")</f>
        <v/>
      </c>
      <c r="D977" s="1" t="str">
        <f t="shared" ca="1" si="78"/>
        <v/>
      </c>
      <c r="E977" s="13" t="str">
        <f t="shared" ca="1" si="79"/>
        <v>No ruin</v>
      </c>
      <c r="F977">
        <f t="shared" ca="1" si="80"/>
        <v>0</v>
      </c>
    </row>
    <row r="978" spans="1:6">
      <c r="A978" s="3" t="str">
        <f t="shared" ca="1" si="76"/>
        <v/>
      </c>
      <c r="B978" s="2" t="str">
        <f t="shared" ca="1" si="77"/>
        <v/>
      </c>
      <c r="C978" s="2" t="str">
        <f ca="1">IF(E977="continue",SUM(B$8:B978),"")</f>
        <v/>
      </c>
      <c r="D978" s="1" t="str">
        <f t="shared" ca="1" si="78"/>
        <v/>
      </c>
      <c r="E978" s="13" t="str">
        <f t="shared" ca="1" si="79"/>
        <v>No ruin</v>
      </c>
      <c r="F978">
        <f t="shared" ca="1" si="80"/>
        <v>0</v>
      </c>
    </row>
    <row r="979" spans="1:6">
      <c r="A979" s="3" t="str">
        <f t="shared" ca="1" si="76"/>
        <v/>
      </c>
      <c r="B979" s="2" t="str">
        <f t="shared" ca="1" si="77"/>
        <v/>
      </c>
      <c r="C979" s="2" t="str">
        <f ca="1">IF(E978="continue",SUM(B$8:B979),"")</f>
        <v/>
      </c>
      <c r="D979" s="1" t="str">
        <f t="shared" ca="1" si="78"/>
        <v/>
      </c>
      <c r="E979" s="13" t="str">
        <f t="shared" ca="1" si="79"/>
        <v>No ruin</v>
      </c>
      <c r="F979">
        <f t="shared" ca="1" si="80"/>
        <v>0</v>
      </c>
    </row>
    <row r="980" spans="1:6">
      <c r="A980" s="3" t="str">
        <f t="shared" ca="1" si="76"/>
        <v/>
      </c>
      <c r="B980" s="2" t="str">
        <f t="shared" ca="1" si="77"/>
        <v/>
      </c>
      <c r="C980" s="2" t="str">
        <f ca="1">IF(E979="continue",SUM(B$8:B980),"")</f>
        <v/>
      </c>
      <c r="D980" s="1" t="str">
        <f t="shared" ca="1" si="78"/>
        <v/>
      </c>
      <c r="E980" s="13" t="str">
        <f t="shared" ca="1" si="79"/>
        <v>No ruin</v>
      </c>
      <c r="F980">
        <f t="shared" ca="1" si="80"/>
        <v>0</v>
      </c>
    </row>
    <row r="981" spans="1:6">
      <c r="A981" s="3" t="str">
        <f t="shared" ca="1" si="76"/>
        <v/>
      </c>
      <c r="B981" s="2" t="str">
        <f t="shared" ca="1" si="77"/>
        <v/>
      </c>
      <c r="C981" s="2" t="str">
        <f ca="1">IF(E980="continue",SUM(B$8:B981),"")</f>
        <v/>
      </c>
      <c r="D981" s="1" t="str">
        <f t="shared" ca="1" si="78"/>
        <v/>
      </c>
      <c r="E981" s="13" t="str">
        <f t="shared" ca="1" si="79"/>
        <v>No ruin</v>
      </c>
      <c r="F981">
        <f t="shared" ca="1" si="80"/>
        <v>0</v>
      </c>
    </row>
    <row r="982" spans="1:6">
      <c r="A982" s="3" t="str">
        <f t="shared" ca="1" si="76"/>
        <v/>
      </c>
      <c r="B982" s="2" t="str">
        <f t="shared" ca="1" si="77"/>
        <v/>
      </c>
      <c r="C982" s="2" t="str">
        <f ca="1">IF(E981="continue",SUM(B$8:B982),"")</f>
        <v/>
      </c>
      <c r="D982" s="1" t="str">
        <f t="shared" ca="1" si="78"/>
        <v/>
      </c>
      <c r="E982" s="13" t="str">
        <f t="shared" ca="1" si="79"/>
        <v>No ruin</v>
      </c>
      <c r="F982">
        <f t="shared" ca="1" si="80"/>
        <v>0</v>
      </c>
    </row>
    <row r="983" spans="1:6">
      <c r="A983" s="3" t="str">
        <f t="shared" ca="1" si="76"/>
        <v/>
      </c>
      <c r="B983" s="2" t="str">
        <f t="shared" ca="1" si="77"/>
        <v/>
      </c>
      <c r="C983" s="2" t="str">
        <f ca="1">IF(E982="continue",SUM(B$8:B983),"")</f>
        <v/>
      </c>
      <c r="D983" s="1" t="str">
        <f t="shared" ca="1" si="78"/>
        <v/>
      </c>
      <c r="E983" s="13" t="str">
        <f t="shared" ca="1" si="79"/>
        <v>No ruin</v>
      </c>
      <c r="F983">
        <f t="shared" ca="1" si="80"/>
        <v>0</v>
      </c>
    </row>
    <row r="984" spans="1:6">
      <c r="A984" s="3" t="str">
        <f t="shared" ca="1" si="76"/>
        <v/>
      </c>
      <c r="B984" s="2" t="str">
        <f t="shared" ca="1" si="77"/>
        <v/>
      </c>
      <c r="C984" s="2" t="str">
        <f ca="1">IF(E983="continue",SUM(B$8:B984),"")</f>
        <v/>
      </c>
      <c r="D984" s="1" t="str">
        <f t="shared" ca="1" si="78"/>
        <v/>
      </c>
      <c r="E984" s="13" t="str">
        <f t="shared" ca="1" si="79"/>
        <v>No ruin</v>
      </c>
      <c r="F984">
        <f t="shared" ca="1" si="80"/>
        <v>0</v>
      </c>
    </row>
    <row r="985" spans="1:6">
      <c r="A985" s="3" t="str">
        <f t="shared" ca="1" si="76"/>
        <v/>
      </c>
      <c r="B985" s="2" t="str">
        <f t="shared" ca="1" si="77"/>
        <v/>
      </c>
      <c r="C985" s="2" t="str">
        <f ca="1">IF(E984="continue",SUM(B$8:B985),"")</f>
        <v/>
      </c>
      <c r="D985" s="1" t="str">
        <f t="shared" ca="1" si="78"/>
        <v/>
      </c>
      <c r="E985" s="13" t="str">
        <f t="shared" ca="1" si="79"/>
        <v>No ruin</v>
      </c>
      <c r="F985">
        <f t="shared" ca="1" si="80"/>
        <v>0</v>
      </c>
    </row>
    <row r="986" spans="1:6">
      <c r="A986" s="3" t="str">
        <f t="shared" ca="1" si="76"/>
        <v/>
      </c>
      <c r="B986" s="2" t="str">
        <f t="shared" ca="1" si="77"/>
        <v/>
      </c>
      <c r="C986" s="2" t="str">
        <f ca="1">IF(E985="continue",SUM(B$8:B986),"")</f>
        <v/>
      </c>
      <c r="D986" s="1" t="str">
        <f t="shared" ca="1" si="78"/>
        <v/>
      </c>
      <c r="E986" s="13" t="str">
        <f t="shared" ca="1" si="79"/>
        <v>No ruin</v>
      </c>
      <c r="F986">
        <f t="shared" ca="1" si="80"/>
        <v>0</v>
      </c>
    </row>
    <row r="987" spans="1:6">
      <c r="A987" s="3" t="str">
        <f t="shared" ca="1" si="76"/>
        <v/>
      </c>
      <c r="B987" s="2" t="str">
        <f t="shared" ca="1" si="77"/>
        <v/>
      </c>
      <c r="C987" s="2" t="str">
        <f ca="1">IF(E986="continue",SUM(B$8:B987),"")</f>
        <v/>
      </c>
      <c r="D987" s="1" t="str">
        <f t="shared" ca="1" si="78"/>
        <v/>
      </c>
      <c r="E987" s="13" t="str">
        <f t="shared" ca="1" si="79"/>
        <v>No ruin</v>
      </c>
      <c r="F987">
        <f t="shared" ca="1" si="80"/>
        <v>0</v>
      </c>
    </row>
    <row r="988" spans="1:6">
      <c r="A988" s="3" t="str">
        <f t="shared" ref="A988:A1051" ca="1" si="81">IF(E987="continue",-LN(1-RAND())*O$3+A987,"")</f>
        <v/>
      </c>
      <c r="B988" s="2" t="str">
        <f t="shared" ref="B988:B1051" ca="1" si="82">IF(E987="continue",-LN(1-RAND())*M$3,"")</f>
        <v/>
      </c>
      <c r="C988" s="2" t="str">
        <f ca="1">IF(E987="continue",SUM(B$8:B988),"")</f>
        <v/>
      </c>
      <c r="D988" s="1" t="str">
        <f t="shared" ref="D988:D1051" ca="1" si="83">IF(E987="continue",(1+J$1)*(1/O$3)*M$3*A988,"")</f>
        <v/>
      </c>
      <c r="E988" s="13" t="str">
        <f t="shared" ref="E988:E1051" ca="1" si="84">IF(A988&gt;G$1,"No ruin",IF(AND(A988&lt;=G$1,C988&gt;J$4+D988),"RUIN","continue"))</f>
        <v>No ruin</v>
      </c>
      <c r="F988">
        <f t="shared" ca="1" si="80"/>
        <v>0</v>
      </c>
    </row>
    <row r="989" spans="1:6">
      <c r="A989" s="3" t="str">
        <f t="shared" ca="1" si="81"/>
        <v/>
      </c>
      <c r="B989" s="2" t="str">
        <f t="shared" ca="1" si="82"/>
        <v/>
      </c>
      <c r="C989" s="2" t="str">
        <f ca="1">IF(E988="continue",SUM(B$8:B989),"")</f>
        <v/>
      </c>
      <c r="D989" s="1" t="str">
        <f t="shared" ca="1" si="83"/>
        <v/>
      </c>
      <c r="E989" s="13" t="str">
        <f t="shared" ca="1" si="84"/>
        <v>No ruin</v>
      </c>
      <c r="F989">
        <f t="shared" ca="1" si="80"/>
        <v>0</v>
      </c>
    </row>
    <row r="990" spans="1:6">
      <c r="A990" s="3" t="str">
        <f t="shared" ca="1" si="81"/>
        <v/>
      </c>
      <c r="B990" s="2" t="str">
        <f t="shared" ca="1" si="82"/>
        <v/>
      </c>
      <c r="C990" s="2" t="str">
        <f ca="1">IF(E989="continue",SUM(B$8:B990),"")</f>
        <v/>
      </c>
      <c r="D990" s="1" t="str">
        <f t="shared" ca="1" si="83"/>
        <v/>
      </c>
      <c r="E990" s="13" t="str">
        <f t="shared" ca="1" si="84"/>
        <v>No ruin</v>
      </c>
      <c r="F990">
        <f t="shared" ca="1" si="80"/>
        <v>0</v>
      </c>
    </row>
    <row r="991" spans="1:6">
      <c r="A991" s="3" t="str">
        <f t="shared" ca="1" si="81"/>
        <v/>
      </c>
      <c r="B991" s="2" t="str">
        <f t="shared" ca="1" si="82"/>
        <v/>
      </c>
      <c r="C991" s="2" t="str">
        <f ca="1">IF(E990="continue",SUM(B$8:B991),"")</f>
        <v/>
      </c>
      <c r="D991" s="1" t="str">
        <f t="shared" ca="1" si="83"/>
        <v/>
      </c>
      <c r="E991" s="13" t="str">
        <f t="shared" ca="1" si="84"/>
        <v>No ruin</v>
      </c>
      <c r="F991">
        <f t="shared" ca="1" si="80"/>
        <v>0</v>
      </c>
    </row>
    <row r="992" spans="1:6">
      <c r="A992" s="3" t="str">
        <f t="shared" ca="1" si="81"/>
        <v/>
      </c>
      <c r="B992" s="2" t="str">
        <f t="shared" ca="1" si="82"/>
        <v/>
      </c>
      <c r="C992" s="2" t="str">
        <f ca="1">IF(E991="continue",SUM(B$8:B992),"")</f>
        <v/>
      </c>
      <c r="D992" s="1" t="str">
        <f t="shared" ca="1" si="83"/>
        <v/>
      </c>
      <c r="E992" s="13" t="str">
        <f t="shared" ca="1" si="84"/>
        <v>No ruin</v>
      </c>
      <c r="F992">
        <f t="shared" ca="1" si="80"/>
        <v>0</v>
      </c>
    </row>
    <row r="993" spans="1:6">
      <c r="A993" s="3" t="str">
        <f t="shared" ca="1" si="81"/>
        <v/>
      </c>
      <c r="B993" s="2" t="str">
        <f t="shared" ca="1" si="82"/>
        <v/>
      </c>
      <c r="C993" s="2" t="str">
        <f ca="1">IF(E992="continue",SUM(B$8:B993),"")</f>
        <v/>
      </c>
      <c r="D993" s="1" t="str">
        <f t="shared" ca="1" si="83"/>
        <v/>
      </c>
      <c r="E993" s="13" t="str">
        <f t="shared" ca="1" si="84"/>
        <v>No ruin</v>
      </c>
      <c r="F993">
        <f t="shared" ca="1" si="80"/>
        <v>0</v>
      </c>
    </row>
    <row r="994" spans="1:6">
      <c r="A994" s="3" t="str">
        <f t="shared" ca="1" si="81"/>
        <v/>
      </c>
      <c r="B994" s="2" t="str">
        <f t="shared" ca="1" si="82"/>
        <v/>
      </c>
      <c r="C994" s="2" t="str">
        <f ca="1">IF(E993="continue",SUM(B$8:B994),"")</f>
        <v/>
      </c>
      <c r="D994" s="1" t="str">
        <f t="shared" ca="1" si="83"/>
        <v/>
      </c>
      <c r="E994" s="13" t="str">
        <f t="shared" ca="1" si="84"/>
        <v>No ruin</v>
      </c>
      <c r="F994">
        <f t="shared" ca="1" si="80"/>
        <v>0</v>
      </c>
    </row>
    <row r="995" spans="1:6">
      <c r="A995" s="3" t="str">
        <f t="shared" ca="1" si="81"/>
        <v/>
      </c>
      <c r="B995" s="2" t="str">
        <f t="shared" ca="1" si="82"/>
        <v/>
      </c>
      <c r="C995" s="2" t="str">
        <f ca="1">IF(E994="continue",SUM(B$8:B995),"")</f>
        <v/>
      </c>
      <c r="D995" s="1" t="str">
        <f t="shared" ca="1" si="83"/>
        <v/>
      </c>
      <c r="E995" s="13" t="str">
        <f t="shared" ca="1" si="84"/>
        <v>No ruin</v>
      </c>
      <c r="F995">
        <f t="shared" ca="1" si="80"/>
        <v>0</v>
      </c>
    </row>
    <row r="996" spans="1:6">
      <c r="A996" s="3" t="str">
        <f t="shared" ca="1" si="81"/>
        <v/>
      </c>
      <c r="B996" s="2" t="str">
        <f t="shared" ca="1" si="82"/>
        <v/>
      </c>
      <c r="C996" s="2" t="str">
        <f ca="1">IF(E995="continue",SUM(B$8:B996),"")</f>
        <v/>
      </c>
      <c r="D996" s="1" t="str">
        <f t="shared" ca="1" si="83"/>
        <v/>
      </c>
      <c r="E996" s="13" t="str">
        <f t="shared" ca="1" si="84"/>
        <v>No ruin</v>
      </c>
      <c r="F996">
        <f t="shared" ca="1" si="80"/>
        <v>0</v>
      </c>
    </row>
    <row r="997" spans="1:6">
      <c r="A997" s="3" t="str">
        <f t="shared" ca="1" si="81"/>
        <v/>
      </c>
      <c r="B997" s="2" t="str">
        <f t="shared" ca="1" si="82"/>
        <v/>
      </c>
      <c r="C997" s="2" t="str">
        <f ca="1">IF(E996="continue",SUM(B$8:B997),"")</f>
        <v/>
      </c>
      <c r="D997" s="1" t="str">
        <f t="shared" ca="1" si="83"/>
        <v/>
      </c>
      <c r="E997" s="13" t="str">
        <f t="shared" ca="1" si="84"/>
        <v>No ruin</v>
      </c>
      <c r="F997">
        <f t="shared" ca="1" si="80"/>
        <v>0</v>
      </c>
    </row>
    <row r="998" spans="1:6">
      <c r="A998" s="3" t="str">
        <f t="shared" ca="1" si="81"/>
        <v/>
      </c>
      <c r="B998" s="2" t="str">
        <f t="shared" ca="1" si="82"/>
        <v/>
      </c>
      <c r="C998" s="2" t="str">
        <f ca="1">IF(E997="continue",SUM(B$8:B998),"")</f>
        <v/>
      </c>
      <c r="D998" s="1" t="str">
        <f t="shared" ca="1" si="83"/>
        <v/>
      </c>
      <c r="E998" s="13" t="str">
        <f t="shared" ca="1" si="84"/>
        <v>No ruin</v>
      </c>
      <c r="F998">
        <f t="shared" ca="1" si="80"/>
        <v>0</v>
      </c>
    </row>
    <row r="999" spans="1:6">
      <c r="A999" s="3" t="str">
        <f t="shared" ca="1" si="81"/>
        <v/>
      </c>
      <c r="B999" s="2" t="str">
        <f t="shared" ca="1" si="82"/>
        <v/>
      </c>
      <c r="C999" s="2" t="str">
        <f ca="1">IF(E998="continue",SUM(B$8:B999),"")</f>
        <v/>
      </c>
      <c r="D999" s="1" t="str">
        <f t="shared" ca="1" si="83"/>
        <v/>
      </c>
      <c r="E999" s="13" t="str">
        <f t="shared" ca="1" si="84"/>
        <v>No ruin</v>
      </c>
      <c r="F999">
        <f t="shared" ca="1" si="80"/>
        <v>0</v>
      </c>
    </row>
    <row r="1000" spans="1:6">
      <c r="A1000" s="3" t="str">
        <f t="shared" ca="1" si="81"/>
        <v/>
      </c>
      <c r="B1000" s="2" t="str">
        <f t="shared" ca="1" si="82"/>
        <v/>
      </c>
      <c r="C1000" s="2" t="str">
        <f ca="1">IF(E999="continue",SUM(B$8:B1000),"")</f>
        <v/>
      </c>
      <c r="D1000" s="1" t="str">
        <f t="shared" ca="1" si="83"/>
        <v/>
      </c>
      <c r="E1000" s="13" t="str">
        <f t="shared" ca="1" si="84"/>
        <v>No ruin</v>
      </c>
      <c r="F1000">
        <f t="shared" ca="1" si="80"/>
        <v>0</v>
      </c>
    </row>
    <row r="1001" spans="1:6">
      <c r="A1001" s="3" t="str">
        <f t="shared" ca="1" si="81"/>
        <v/>
      </c>
      <c r="B1001" s="2" t="str">
        <f t="shared" ca="1" si="82"/>
        <v/>
      </c>
      <c r="C1001" s="2" t="str">
        <f ca="1">IF(E1000="continue",SUM(B$8:B1001),"")</f>
        <v/>
      </c>
      <c r="D1001" s="1" t="str">
        <f t="shared" ca="1" si="83"/>
        <v/>
      </c>
      <c r="E1001" s="13" t="str">
        <f t="shared" ca="1" si="84"/>
        <v>No ruin</v>
      </c>
      <c r="F1001">
        <f t="shared" ca="1" si="80"/>
        <v>0</v>
      </c>
    </row>
    <row r="1002" spans="1:6">
      <c r="A1002" s="3" t="str">
        <f t="shared" ca="1" si="81"/>
        <v/>
      </c>
      <c r="B1002" s="2" t="str">
        <f t="shared" ca="1" si="82"/>
        <v/>
      </c>
      <c r="C1002" s="2" t="str">
        <f ca="1">IF(E1001="continue",SUM(B$8:B1002),"")</f>
        <v/>
      </c>
      <c r="D1002" s="1" t="str">
        <f t="shared" ca="1" si="83"/>
        <v/>
      </c>
      <c r="E1002" s="13" t="str">
        <f t="shared" ca="1" si="84"/>
        <v>No ruin</v>
      </c>
      <c r="F1002">
        <f t="shared" ca="1" si="80"/>
        <v>0</v>
      </c>
    </row>
    <row r="1003" spans="1:6">
      <c r="A1003" s="3" t="str">
        <f t="shared" ca="1" si="81"/>
        <v/>
      </c>
      <c r="B1003" s="2" t="str">
        <f t="shared" ca="1" si="82"/>
        <v/>
      </c>
      <c r="C1003" s="2" t="str">
        <f ca="1">IF(E1002="continue",SUM(B$8:B1003),"")</f>
        <v/>
      </c>
      <c r="D1003" s="1" t="str">
        <f t="shared" ca="1" si="83"/>
        <v/>
      </c>
      <c r="E1003" s="13" t="str">
        <f t="shared" ca="1" si="84"/>
        <v>No ruin</v>
      </c>
      <c r="F1003">
        <f t="shared" ca="1" si="80"/>
        <v>0</v>
      </c>
    </row>
    <row r="1004" spans="1:6">
      <c r="A1004" s="3" t="str">
        <f t="shared" ca="1" si="81"/>
        <v/>
      </c>
      <c r="B1004" s="2" t="str">
        <f t="shared" ca="1" si="82"/>
        <v/>
      </c>
      <c r="C1004" s="2" t="str">
        <f ca="1">IF(E1003="continue",SUM(B$8:B1004),"")</f>
        <v/>
      </c>
      <c r="D1004" s="1" t="str">
        <f t="shared" ca="1" si="83"/>
        <v/>
      </c>
      <c r="E1004" s="13" t="str">
        <f t="shared" ca="1" si="84"/>
        <v>No ruin</v>
      </c>
      <c r="F1004">
        <f t="shared" ca="1" si="80"/>
        <v>0</v>
      </c>
    </row>
    <row r="1005" spans="1:6">
      <c r="A1005" s="3" t="str">
        <f t="shared" ca="1" si="81"/>
        <v/>
      </c>
      <c r="B1005" s="2" t="str">
        <f t="shared" ca="1" si="82"/>
        <v/>
      </c>
      <c r="C1005" s="2" t="str">
        <f ca="1">IF(E1004="continue",SUM(B$8:B1005),"")</f>
        <v/>
      </c>
      <c r="D1005" s="1" t="str">
        <f t="shared" ca="1" si="83"/>
        <v/>
      </c>
      <c r="E1005" s="13" t="str">
        <f t="shared" ca="1" si="84"/>
        <v>No ruin</v>
      </c>
      <c r="F1005">
        <f t="shared" ca="1" si="80"/>
        <v>0</v>
      </c>
    </row>
    <row r="1006" spans="1:6">
      <c r="A1006" s="3" t="str">
        <f t="shared" ca="1" si="81"/>
        <v/>
      </c>
      <c r="B1006" s="2" t="str">
        <f t="shared" ca="1" si="82"/>
        <v/>
      </c>
      <c r="C1006" s="2" t="str">
        <f ca="1">IF(E1005="continue",SUM(B$8:B1006),"")</f>
        <v/>
      </c>
      <c r="D1006" s="1" t="str">
        <f t="shared" ca="1" si="83"/>
        <v/>
      </c>
      <c r="E1006" s="13" t="str">
        <f t="shared" ca="1" si="84"/>
        <v>No ruin</v>
      </c>
      <c r="F1006">
        <f t="shared" ca="1" si="80"/>
        <v>0</v>
      </c>
    </row>
    <row r="1007" spans="1:6">
      <c r="A1007" s="3" t="str">
        <f t="shared" ca="1" si="81"/>
        <v/>
      </c>
      <c r="B1007" s="2" t="str">
        <f t="shared" ca="1" si="82"/>
        <v/>
      </c>
      <c r="C1007" s="2" t="str">
        <f ca="1">IF(E1006="continue",SUM(B$8:B1007),"")</f>
        <v/>
      </c>
      <c r="D1007" s="1" t="str">
        <f t="shared" ca="1" si="83"/>
        <v/>
      </c>
      <c r="E1007" s="13" t="str">
        <f t="shared" ca="1" si="84"/>
        <v>No ruin</v>
      </c>
      <c r="F1007">
        <f t="shared" ca="1" si="80"/>
        <v>0</v>
      </c>
    </row>
    <row r="1008" spans="1:6">
      <c r="A1008" s="3" t="str">
        <f t="shared" ca="1" si="81"/>
        <v/>
      </c>
      <c r="B1008" s="2" t="str">
        <f t="shared" ca="1" si="82"/>
        <v/>
      </c>
      <c r="C1008" s="2" t="str">
        <f ca="1">IF(E1007="continue",SUM(B$8:B1008),"")</f>
        <v/>
      </c>
      <c r="D1008" s="1" t="str">
        <f t="shared" ca="1" si="83"/>
        <v/>
      </c>
      <c r="E1008" s="13" t="str">
        <f t="shared" ca="1" si="84"/>
        <v>No ruin</v>
      </c>
      <c r="F1008">
        <f t="shared" ca="1" si="80"/>
        <v>0</v>
      </c>
    </row>
    <row r="1009" spans="1:6">
      <c r="A1009" s="3" t="str">
        <f t="shared" ca="1" si="81"/>
        <v/>
      </c>
      <c r="B1009" s="2" t="str">
        <f t="shared" ca="1" si="82"/>
        <v/>
      </c>
      <c r="C1009" s="2" t="str">
        <f ca="1">IF(E1008="continue",SUM(B$8:B1009),"")</f>
        <v/>
      </c>
      <c r="D1009" s="1" t="str">
        <f t="shared" ca="1" si="83"/>
        <v/>
      </c>
      <c r="E1009" s="13" t="str">
        <f t="shared" ca="1" si="84"/>
        <v>No ruin</v>
      </c>
      <c r="F1009">
        <f t="shared" ca="1" si="80"/>
        <v>0</v>
      </c>
    </row>
    <row r="1010" spans="1:6">
      <c r="A1010" s="3" t="str">
        <f t="shared" ca="1" si="81"/>
        <v/>
      </c>
      <c r="B1010" s="2" t="str">
        <f t="shared" ca="1" si="82"/>
        <v/>
      </c>
      <c r="C1010" s="2" t="str">
        <f ca="1">IF(E1009="continue",SUM(B$8:B1010),"")</f>
        <v/>
      </c>
      <c r="D1010" s="1" t="str">
        <f t="shared" ca="1" si="83"/>
        <v/>
      </c>
      <c r="E1010" s="13" t="str">
        <f t="shared" ca="1" si="84"/>
        <v>No ruin</v>
      </c>
      <c r="F1010">
        <f t="shared" ca="1" si="80"/>
        <v>0</v>
      </c>
    </row>
    <row r="1011" spans="1:6">
      <c r="A1011" s="3" t="str">
        <f t="shared" ca="1" si="81"/>
        <v/>
      </c>
      <c r="B1011" s="2" t="str">
        <f t="shared" ca="1" si="82"/>
        <v/>
      </c>
      <c r="C1011" s="2" t="str">
        <f ca="1">IF(E1010="continue",SUM(B$8:B1011),"")</f>
        <v/>
      </c>
      <c r="D1011" s="1" t="str">
        <f t="shared" ca="1" si="83"/>
        <v/>
      </c>
      <c r="E1011" s="13" t="str">
        <f t="shared" ca="1" si="84"/>
        <v>No ruin</v>
      </c>
      <c r="F1011">
        <f t="shared" ca="1" si="80"/>
        <v>0</v>
      </c>
    </row>
    <row r="1012" spans="1:6">
      <c r="A1012" s="3" t="str">
        <f t="shared" ca="1" si="81"/>
        <v/>
      </c>
      <c r="B1012" s="2" t="str">
        <f t="shared" ca="1" si="82"/>
        <v/>
      </c>
      <c r="C1012" s="2" t="str">
        <f ca="1">IF(E1011="continue",SUM(B$8:B1012),"")</f>
        <v/>
      </c>
      <c r="D1012" s="1" t="str">
        <f t="shared" ca="1" si="83"/>
        <v/>
      </c>
      <c r="E1012" s="13" t="str">
        <f t="shared" ca="1" si="84"/>
        <v>No ruin</v>
      </c>
      <c r="F1012">
        <f t="shared" ca="1" si="80"/>
        <v>0</v>
      </c>
    </row>
    <row r="1013" spans="1:6">
      <c r="A1013" s="3" t="str">
        <f t="shared" ca="1" si="81"/>
        <v/>
      </c>
      <c r="B1013" s="2" t="str">
        <f t="shared" ca="1" si="82"/>
        <v/>
      </c>
      <c r="C1013" s="2" t="str">
        <f ca="1">IF(E1012="continue",SUM(B$8:B1013),"")</f>
        <v/>
      </c>
      <c r="D1013" s="1" t="str">
        <f t="shared" ca="1" si="83"/>
        <v/>
      </c>
      <c r="E1013" s="13" t="str">
        <f t="shared" ca="1" si="84"/>
        <v>No ruin</v>
      </c>
      <c r="F1013">
        <f t="shared" ca="1" si="80"/>
        <v>0</v>
      </c>
    </row>
    <row r="1014" spans="1:6">
      <c r="A1014" s="3" t="str">
        <f t="shared" ca="1" si="81"/>
        <v/>
      </c>
      <c r="B1014" s="2" t="str">
        <f t="shared" ca="1" si="82"/>
        <v/>
      </c>
      <c r="C1014" s="2" t="str">
        <f ca="1">IF(E1013="continue",SUM(B$8:B1014),"")</f>
        <v/>
      </c>
      <c r="D1014" s="1" t="str">
        <f t="shared" ca="1" si="83"/>
        <v/>
      </c>
      <c r="E1014" s="13" t="str">
        <f t="shared" ca="1" si="84"/>
        <v>No ruin</v>
      </c>
      <c r="F1014">
        <f t="shared" ca="1" si="80"/>
        <v>0</v>
      </c>
    </row>
    <row r="1015" spans="1:6">
      <c r="A1015" s="3" t="str">
        <f t="shared" ca="1" si="81"/>
        <v/>
      </c>
      <c r="B1015" s="2" t="str">
        <f t="shared" ca="1" si="82"/>
        <v/>
      </c>
      <c r="C1015" s="2" t="str">
        <f ca="1">IF(E1014="continue",SUM(B$8:B1015),"")</f>
        <v/>
      </c>
      <c r="D1015" s="1" t="str">
        <f t="shared" ca="1" si="83"/>
        <v/>
      </c>
      <c r="E1015" s="13" t="str">
        <f t="shared" ca="1" si="84"/>
        <v>No ruin</v>
      </c>
      <c r="F1015">
        <f t="shared" ca="1" si="80"/>
        <v>0</v>
      </c>
    </row>
    <row r="1016" spans="1:6">
      <c r="A1016" s="3" t="str">
        <f t="shared" ca="1" si="81"/>
        <v/>
      </c>
      <c r="B1016" s="2" t="str">
        <f t="shared" ca="1" si="82"/>
        <v/>
      </c>
      <c r="C1016" s="2" t="str">
        <f ca="1">IF(E1015="continue",SUM(B$8:B1016),"")</f>
        <v/>
      </c>
      <c r="D1016" s="1" t="str">
        <f t="shared" ca="1" si="83"/>
        <v/>
      </c>
      <c r="E1016" s="13" t="str">
        <f t="shared" ca="1" si="84"/>
        <v>No ruin</v>
      </c>
      <c r="F1016">
        <f t="shared" ca="1" si="80"/>
        <v>0</v>
      </c>
    </row>
    <row r="1017" spans="1:6">
      <c r="A1017" s="3" t="str">
        <f t="shared" ca="1" si="81"/>
        <v/>
      </c>
      <c r="B1017" s="2" t="str">
        <f t="shared" ca="1" si="82"/>
        <v/>
      </c>
      <c r="C1017" s="2" t="str">
        <f ca="1">IF(E1016="continue",SUM(B$8:B1017),"")</f>
        <v/>
      </c>
      <c r="D1017" s="1" t="str">
        <f t="shared" ca="1" si="83"/>
        <v/>
      </c>
      <c r="E1017" s="13" t="str">
        <f t="shared" ca="1" si="84"/>
        <v>No ruin</v>
      </c>
      <c r="F1017">
        <f t="shared" ca="1" si="80"/>
        <v>0</v>
      </c>
    </row>
    <row r="1018" spans="1:6">
      <c r="A1018" s="3" t="str">
        <f t="shared" ca="1" si="81"/>
        <v/>
      </c>
      <c r="B1018" s="2" t="str">
        <f t="shared" ca="1" si="82"/>
        <v/>
      </c>
      <c r="C1018" s="2" t="str">
        <f ca="1">IF(E1017="continue",SUM(B$8:B1018),"")</f>
        <v/>
      </c>
      <c r="D1018" s="1" t="str">
        <f t="shared" ca="1" si="83"/>
        <v/>
      </c>
      <c r="E1018" s="13" t="str">
        <f t="shared" ca="1" si="84"/>
        <v>No ruin</v>
      </c>
      <c r="F1018">
        <f t="shared" ca="1" si="80"/>
        <v>0</v>
      </c>
    </row>
    <row r="1019" spans="1:6">
      <c r="A1019" s="3" t="str">
        <f t="shared" ca="1" si="81"/>
        <v/>
      </c>
      <c r="B1019" s="2" t="str">
        <f t="shared" ca="1" si="82"/>
        <v/>
      </c>
      <c r="C1019" s="2" t="str">
        <f ca="1">IF(E1018="continue",SUM(B$8:B1019),"")</f>
        <v/>
      </c>
      <c r="D1019" s="1" t="str">
        <f t="shared" ca="1" si="83"/>
        <v/>
      </c>
      <c r="E1019" s="13" t="str">
        <f t="shared" ca="1" si="84"/>
        <v>No ruin</v>
      </c>
      <c r="F1019">
        <f t="shared" ca="1" si="80"/>
        <v>0</v>
      </c>
    </row>
    <row r="1020" spans="1:6">
      <c r="A1020" s="3" t="str">
        <f t="shared" ca="1" si="81"/>
        <v/>
      </c>
      <c r="B1020" s="2" t="str">
        <f t="shared" ca="1" si="82"/>
        <v/>
      </c>
      <c r="C1020" s="2" t="str">
        <f ca="1">IF(E1019="continue",SUM(B$8:B1020),"")</f>
        <v/>
      </c>
      <c r="D1020" s="1" t="str">
        <f t="shared" ca="1" si="83"/>
        <v/>
      </c>
      <c r="E1020" s="13" t="str">
        <f t="shared" ca="1" si="84"/>
        <v>No ruin</v>
      </c>
      <c r="F1020">
        <f t="shared" ca="1" si="80"/>
        <v>0</v>
      </c>
    </row>
    <row r="1021" spans="1:6">
      <c r="A1021" s="3" t="str">
        <f t="shared" ca="1" si="81"/>
        <v/>
      </c>
      <c r="B1021" s="2" t="str">
        <f t="shared" ca="1" si="82"/>
        <v/>
      </c>
      <c r="C1021" s="2" t="str">
        <f ca="1">IF(E1020="continue",SUM(B$8:B1021),"")</f>
        <v/>
      </c>
      <c r="D1021" s="1" t="str">
        <f t="shared" ca="1" si="83"/>
        <v/>
      </c>
      <c r="E1021" s="13" t="str">
        <f t="shared" ca="1" si="84"/>
        <v>No ruin</v>
      </c>
      <c r="F1021">
        <f t="shared" ca="1" si="80"/>
        <v>0</v>
      </c>
    </row>
    <row r="1022" spans="1:6">
      <c r="A1022" s="3" t="str">
        <f t="shared" ca="1" si="81"/>
        <v/>
      </c>
      <c r="B1022" s="2" t="str">
        <f t="shared" ca="1" si="82"/>
        <v/>
      </c>
      <c r="C1022" s="2" t="str">
        <f ca="1">IF(E1021="continue",SUM(B$8:B1022),"")</f>
        <v/>
      </c>
      <c r="D1022" s="1" t="str">
        <f t="shared" ca="1" si="83"/>
        <v/>
      </c>
      <c r="E1022" s="13" t="str">
        <f t="shared" ca="1" si="84"/>
        <v>No ruin</v>
      </c>
      <c r="F1022">
        <f t="shared" ca="1" si="80"/>
        <v>0</v>
      </c>
    </row>
    <row r="1023" spans="1:6">
      <c r="A1023" s="3" t="str">
        <f t="shared" ca="1" si="81"/>
        <v/>
      </c>
      <c r="B1023" s="2" t="str">
        <f t="shared" ca="1" si="82"/>
        <v/>
      </c>
      <c r="C1023" s="2" t="str">
        <f ca="1">IF(E1022="continue",SUM(B$8:B1023),"")</f>
        <v/>
      </c>
      <c r="D1023" s="1" t="str">
        <f t="shared" ca="1" si="83"/>
        <v/>
      </c>
      <c r="E1023" s="13" t="str">
        <f t="shared" ca="1" si="84"/>
        <v>No ruin</v>
      </c>
      <c r="F1023">
        <f t="shared" ca="1" si="80"/>
        <v>0</v>
      </c>
    </row>
    <row r="1024" spans="1:6">
      <c r="A1024" s="3" t="str">
        <f t="shared" ca="1" si="81"/>
        <v/>
      </c>
      <c r="B1024" s="2" t="str">
        <f t="shared" ca="1" si="82"/>
        <v/>
      </c>
      <c r="C1024" s="2" t="str">
        <f ca="1">IF(E1023="continue",SUM(B$8:B1024),"")</f>
        <v/>
      </c>
      <c r="D1024" s="1" t="str">
        <f t="shared" ca="1" si="83"/>
        <v/>
      </c>
      <c r="E1024" s="13" t="str">
        <f t="shared" ca="1" si="84"/>
        <v>No ruin</v>
      </c>
      <c r="F1024">
        <f t="shared" ca="1" si="80"/>
        <v>0</v>
      </c>
    </row>
    <row r="1025" spans="1:6">
      <c r="A1025" s="3" t="str">
        <f t="shared" ca="1" si="81"/>
        <v/>
      </c>
      <c r="B1025" s="2" t="str">
        <f t="shared" ca="1" si="82"/>
        <v/>
      </c>
      <c r="C1025" s="2" t="str">
        <f ca="1">IF(E1024="continue",SUM(B$8:B1025),"")</f>
        <v/>
      </c>
      <c r="D1025" s="1" t="str">
        <f t="shared" ca="1" si="83"/>
        <v/>
      </c>
      <c r="E1025" s="13" t="str">
        <f t="shared" ca="1" si="84"/>
        <v>No ruin</v>
      </c>
      <c r="F1025">
        <f t="shared" ca="1" si="80"/>
        <v>0</v>
      </c>
    </row>
    <row r="1026" spans="1:6">
      <c r="A1026" s="3" t="str">
        <f t="shared" ca="1" si="81"/>
        <v/>
      </c>
      <c r="B1026" s="2" t="str">
        <f t="shared" ca="1" si="82"/>
        <v/>
      </c>
      <c r="C1026" s="2" t="str">
        <f ca="1">IF(E1025="continue",SUM(B$8:B1026),"")</f>
        <v/>
      </c>
      <c r="D1026" s="1" t="str">
        <f t="shared" ca="1" si="83"/>
        <v/>
      </c>
      <c r="E1026" s="13" t="str">
        <f t="shared" ca="1" si="84"/>
        <v>No ruin</v>
      </c>
      <c r="F1026">
        <f t="shared" ca="1" si="80"/>
        <v>0</v>
      </c>
    </row>
    <row r="1027" spans="1:6">
      <c r="A1027" s="3" t="str">
        <f t="shared" ca="1" si="81"/>
        <v/>
      </c>
      <c r="B1027" s="2" t="str">
        <f t="shared" ca="1" si="82"/>
        <v/>
      </c>
      <c r="C1027" s="2" t="str">
        <f ca="1">IF(E1026="continue",SUM(B$8:B1027),"")</f>
        <v/>
      </c>
      <c r="D1027" s="1" t="str">
        <f t="shared" ca="1" si="83"/>
        <v/>
      </c>
      <c r="E1027" s="13" t="str">
        <f t="shared" ca="1" si="84"/>
        <v>No ruin</v>
      </c>
      <c r="F1027">
        <f t="shared" ca="1" si="80"/>
        <v>0</v>
      </c>
    </row>
    <row r="1028" spans="1:6">
      <c r="A1028" s="3" t="str">
        <f t="shared" ca="1" si="81"/>
        <v/>
      </c>
      <c r="B1028" s="2" t="str">
        <f t="shared" ca="1" si="82"/>
        <v/>
      </c>
      <c r="C1028" s="2" t="str">
        <f ca="1">IF(E1027="continue",SUM(B$8:B1028),"")</f>
        <v/>
      </c>
      <c r="D1028" s="1" t="str">
        <f t="shared" ca="1" si="83"/>
        <v/>
      </c>
      <c r="E1028" s="13" t="str">
        <f t="shared" ca="1" si="84"/>
        <v>No ruin</v>
      </c>
      <c r="F1028">
        <f t="shared" ca="1" si="80"/>
        <v>0</v>
      </c>
    </row>
    <row r="1029" spans="1:6">
      <c r="A1029" s="3" t="str">
        <f t="shared" ca="1" si="81"/>
        <v/>
      </c>
      <c r="B1029" s="2" t="str">
        <f t="shared" ca="1" si="82"/>
        <v/>
      </c>
      <c r="C1029" s="2" t="str">
        <f ca="1">IF(E1028="continue",SUM(B$8:B1029),"")</f>
        <v/>
      </c>
      <c r="D1029" s="1" t="str">
        <f t="shared" ca="1" si="83"/>
        <v/>
      </c>
      <c r="E1029" s="13" t="str">
        <f t="shared" ca="1" si="84"/>
        <v>No ruin</v>
      </c>
      <c r="F1029">
        <f t="shared" ca="1" si="80"/>
        <v>0</v>
      </c>
    </row>
    <row r="1030" spans="1:6">
      <c r="A1030" s="3" t="str">
        <f t="shared" ca="1" si="81"/>
        <v/>
      </c>
      <c r="B1030" s="2" t="str">
        <f t="shared" ca="1" si="82"/>
        <v/>
      </c>
      <c r="C1030" s="2" t="str">
        <f ca="1">IF(E1029="continue",SUM(B$8:B1030),"")</f>
        <v/>
      </c>
      <c r="D1030" s="1" t="str">
        <f t="shared" ca="1" si="83"/>
        <v/>
      </c>
      <c r="E1030" s="13" t="str">
        <f t="shared" ca="1" si="84"/>
        <v>No ruin</v>
      </c>
      <c r="F1030">
        <f t="shared" ca="1" si="80"/>
        <v>0</v>
      </c>
    </row>
    <row r="1031" spans="1:6">
      <c r="A1031" s="3" t="str">
        <f t="shared" ca="1" si="81"/>
        <v/>
      </c>
      <c r="B1031" s="2" t="str">
        <f t="shared" ca="1" si="82"/>
        <v/>
      </c>
      <c r="C1031" s="2" t="str">
        <f ca="1">IF(E1030="continue",SUM(B$8:B1031),"")</f>
        <v/>
      </c>
      <c r="D1031" s="1" t="str">
        <f t="shared" ca="1" si="83"/>
        <v/>
      </c>
      <c r="E1031" s="13" t="str">
        <f t="shared" ca="1" si="84"/>
        <v>No ruin</v>
      </c>
      <c r="F1031">
        <f t="shared" ca="1" si="80"/>
        <v>0</v>
      </c>
    </row>
    <row r="1032" spans="1:6">
      <c r="A1032" s="3" t="str">
        <f t="shared" ca="1" si="81"/>
        <v/>
      </c>
      <c r="B1032" s="2" t="str">
        <f t="shared" ca="1" si="82"/>
        <v/>
      </c>
      <c r="C1032" s="2" t="str">
        <f ca="1">IF(E1031="continue",SUM(B$8:B1032),"")</f>
        <v/>
      </c>
      <c r="D1032" s="1" t="str">
        <f t="shared" ca="1" si="83"/>
        <v/>
      </c>
      <c r="E1032" s="13" t="str">
        <f t="shared" ca="1" si="84"/>
        <v>No ruin</v>
      </c>
      <c r="F1032">
        <f t="shared" ca="1" si="80"/>
        <v>0</v>
      </c>
    </row>
    <row r="1033" spans="1:6">
      <c r="A1033" s="3" t="str">
        <f t="shared" ca="1" si="81"/>
        <v/>
      </c>
      <c r="B1033" s="2" t="str">
        <f t="shared" ca="1" si="82"/>
        <v/>
      </c>
      <c r="C1033" s="2" t="str">
        <f ca="1">IF(E1032="continue",SUM(B$8:B1033),"")</f>
        <v/>
      </c>
      <c r="D1033" s="1" t="str">
        <f t="shared" ca="1" si="83"/>
        <v/>
      </c>
      <c r="E1033" s="13" t="str">
        <f t="shared" ca="1" si="84"/>
        <v>No ruin</v>
      </c>
      <c r="F1033">
        <f t="shared" ca="1" si="80"/>
        <v>0</v>
      </c>
    </row>
    <row r="1034" spans="1:6">
      <c r="A1034" s="3" t="str">
        <f t="shared" ca="1" si="81"/>
        <v/>
      </c>
      <c r="B1034" s="2" t="str">
        <f t="shared" ca="1" si="82"/>
        <v/>
      </c>
      <c r="C1034" s="2" t="str">
        <f ca="1">IF(E1033="continue",SUM(B$8:B1034),"")</f>
        <v/>
      </c>
      <c r="D1034" s="1" t="str">
        <f t="shared" ca="1" si="83"/>
        <v/>
      </c>
      <c r="E1034" s="13" t="str">
        <f t="shared" ca="1" si="84"/>
        <v>No ruin</v>
      </c>
      <c r="F1034">
        <f t="shared" ref="F1034:F1097" ca="1" si="85">IF(E1034="RUIN",1,0)</f>
        <v>0</v>
      </c>
    </row>
    <row r="1035" spans="1:6">
      <c r="A1035" s="3" t="str">
        <f t="shared" ca="1" si="81"/>
        <v/>
      </c>
      <c r="B1035" s="2" t="str">
        <f t="shared" ca="1" si="82"/>
        <v/>
      </c>
      <c r="C1035" s="2" t="str">
        <f ca="1">IF(E1034="continue",SUM(B$8:B1035),"")</f>
        <v/>
      </c>
      <c r="D1035" s="1" t="str">
        <f t="shared" ca="1" si="83"/>
        <v/>
      </c>
      <c r="E1035" s="13" t="str">
        <f t="shared" ca="1" si="84"/>
        <v>No ruin</v>
      </c>
      <c r="F1035">
        <f t="shared" ca="1" si="85"/>
        <v>0</v>
      </c>
    </row>
    <row r="1036" spans="1:6">
      <c r="A1036" s="3" t="str">
        <f t="shared" ca="1" si="81"/>
        <v/>
      </c>
      <c r="B1036" s="2" t="str">
        <f t="shared" ca="1" si="82"/>
        <v/>
      </c>
      <c r="C1036" s="2" t="str">
        <f ca="1">IF(E1035="continue",SUM(B$8:B1036),"")</f>
        <v/>
      </c>
      <c r="D1036" s="1" t="str">
        <f t="shared" ca="1" si="83"/>
        <v/>
      </c>
      <c r="E1036" s="13" t="str">
        <f t="shared" ca="1" si="84"/>
        <v>No ruin</v>
      </c>
      <c r="F1036">
        <f t="shared" ca="1" si="85"/>
        <v>0</v>
      </c>
    </row>
    <row r="1037" spans="1:6">
      <c r="A1037" s="3" t="str">
        <f t="shared" ca="1" si="81"/>
        <v/>
      </c>
      <c r="B1037" s="2" t="str">
        <f t="shared" ca="1" si="82"/>
        <v/>
      </c>
      <c r="C1037" s="2" t="str">
        <f ca="1">IF(E1036="continue",SUM(B$8:B1037),"")</f>
        <v/>
      </c>
      <c r="D1037" s="1" t="str">
        <f t="shared" ca="1" si="83"/>
        <v/>
      </c>
      <c r="E1037" s="13" t="str">
        <f t="shared" ca="1" si="84"/>
        <v>No ruin</v>
      </c>
      <c r="F1037">
        <f t="shared" ca="1" si="85"/>
        <v>0</v>
      </c>
    </row>
    <row r="1038" spans="1:6">
      <c r="A1038" s="3" t="str">
        <f t="shared" ca="1" si="81"/>
        <v/>
      </c>
      <c r="B1038" s="2" t="str">
        <f t="shared" ca="1" si="82"/>
        <v/>
      </c>
      <c r="C1038" s="2" t="str">
        <f ca="1">IF(E1037="continue",SUM(B$8:B1038),"")</f>
        <v/>
      </c>
      <c r="D1038" s="1" t="str">
        <f t="shared" ca="1" si="83"/>
        <v/>
      </c>
      <c r="E1038" s="13" t="str">
        <f t="shared" ca="1" si="84"/>
        <v>No ruin</v>
      </c>
      <c r="F1038">
        <f t="shared" ca="1" si="85"/>
        <v>0</v>
      </c>
    </row>
    <row r="1039" spans="1:6">
      <c r="A1039" s="3" t="str">
        <f t="shared" ca="1" si="81"/>
        <v/>
      </c>
      <c r="B1039" s="2" t="str">
        <f t="shared" ca="1" si="82"/>
        <v/>
      </c>
      <c r="C1039" s="2" t="str">
        <f ca="1">IF(E1038="continue",SUM(B$8:B1039),"")</f>
        <v/>
      </c>
      <c r="D1039" s="1" t="str">
        <f t="shared" ca="1" si="83"/>
        <v/>
      </c>
      <c r="E1039" s="13" t="str">
        <f t="shared" ca="1" si="84"/>
        <v>No ruin</v>
      </c>
      <c r="F1039">
        <f t="shared" ca="1" si="85"/>
        <v>0</v>
      </c>
    </row>
    <row r="1040" spans="1:6">
      <c r="A1040" s="3" t="str">
        <f t="shared" ca="1" si="81"/>
        <v/>
      </c>
      <c r="B1040" s="2" t="str">
        <f t="shared" ca="1" si="82"/>
        <v/>
      </c>
      <c r="C1040" s="2" t="str">
        <f ca="1">IF(E1039="continue",SUM(B$8:B1040),"")</f>
        <v/>
      </c>
      <c r="D1040" s="1" t="str">
        <f t="shared" ca="1" si="83"/>
        <v/>
      </c>
      <c r="E1040" s="13" t="str">
        <f t="shared" ca="1" si="84"/>
        <v>No ruin</v>
      </c>
      <c r="F1040">
        <f t="shared" ca="1" si="85"/>
        <v>0</v>
      </c>
    </row>
    <row r="1041" spans="1:6">
      <c r="A1041" s="3" t="str">
        <f t="shared" ca="1" si="81"/>
        <v/>
      </c>
      <c r="B1041" s="2" t="str">
        <f t="shared" ca="1" si="82"/>
        <v/>
      </c>
      <c r="C1041" s="2" t="str">
        <f ca="1">IF(E1040="continue",SUM(B$8:B1041),"")</f>
        <v/>
      </c>
      <c r="D1041" s="1" t="str">
        <f t="shared" ca="1" si="83"/>
        <v/>
      </c>
      <c r="E1041" s="13" t="str">
        <f t="shared" ca="1" si="84"/>
        <v>No ruin</v>
      </c>
      <c r="F1041">
        <f t="shared" ca="1" si="85"/>
        <v>0</v>
      </c>
    </row>
    <row r="1042" spans="1:6">
      <c r="A1042" s="3" t="str">
        <f t="shared" ca="1" si="81"/>
        <v/>
      </c>
      <c r="B1042" s="2" t="str">
        <f t="shared" ca="1" si="82"/>
        <v/>
      </c>
      <c r="C1042" s="2" t="str">
        <f ca="1">IF(E1041="continue",SUM(B$8:B1042),"")</f>
        <v/>
      </c>
      <c r="D1042" s="1" t="str">
        <f t="shared" ca="1" si="83"/>
        <v/>
      </c>
      <c r="E1042" s="13" t="str">
        <f t="shared" ca="1" si="84"/>
        <v>No ruin</v>
      </c>
      <c r="F1042">
        <f t="shared" ca="1" si="85"/>
        <v>0</v>
      </c>
    </row>
    <row r="1043" spans="1:6">
      <c r="A1043" s="3" t="str">
        <f t="shared" ca="1" si="81"/>
        <v/>
      </c>
      <c r="B1043" s="2" t="str">
        <f t="shared" ca="1" si="82"/>
        <v/>
      </c>
      <c r="C1043" s="2" t="str">
        <f ca="1">IF(E1042="continue",SUM(B$8:B1043),"")</f>
        <v/>
      </c>
      <c r="D1043" s="1" t="str">
        <f t="shared" ca="1" si="83"/>
        <v/>
      </c>
      <c r="E1043" s="13" t="str">
        <f t="shared" ca="1" si="84"/>
        <v>No ruin</v>
      </c>
      <c r="F1043">
        <f t="shared" ca="1" si="85"/>
        <v>0</v>
      </c>
    </row>
    <row r="1044" spans="1:6">
      <c r="A1044" s="3" t="str">
        <f t="shared" ca="1" si="81"/>
        <v/>
      </c>
      <c r="B1044" s="2" t="str">
        <f t="shared" ca="1" si="82"/>
        <v/>
      </c>
      <c r="C1044" s="2" t="str">
        <f ca="1">IF(E1043="continue",SUM(B$8:B1044),"")</f>
        <v/>
      </c>
      <c r="D1044" s="1" t="str">
        <f t="shared" ca="1" si="83"/>
        <v/>
      </c>
      <c r="E1044" s="13" t="str">
        <f t="shared" ca="1" si="84"/>
        <v>No ruin</v>
      </c>
      <c r="F1044">
        <f t="shared" ca="1" si="85"/>
        <v>0</v>
      </c>
    </row>
    <row r="1045" spans="1:6">
      <c r="A1045" s="3" t="str">
        <f t="shared" ca="1" si="81"/>
        <v/>
      </c>
      <c r="B1045" s="2" t="str">
        <f t="shared" ca="1" si="82"/>
        <v/>
      </c>
      <c r="C1045" s="2" t="str">
        <f ca="1">IF(E1044="continue",SUM(B$8:B1045),"")</f>
        <v/>
      </c>
      <c r="D1045" s="1" t="str">
        <f t="shared" ca="1" si="83"/>
        <v/>
      </c>
      <c r="E1045" s="13" t="str">
        <f t="shared" ca="1" si="84"/>
        <v>No ruin</v>
      </c>
      <c r="F1045">
        <f t="shared" ca="1" si="85"/>
        <v>0</v>
      </c>
    </row>
    <row r="1046" spans="1:6">
      <c r="A1046" s="3" t="str">
        <f t="shared" ca="1" si="81"/>
        <v/>
      </c>
      <c r="B1046" s="2" t="str">
        <f t="shared" ca="1" si="82"/>
        <v/>
      </c>
      <c r="C1046" s="2" t="str">
        <f ca="1">IF(E1045="continue",SUM(B$8:B1046),"")</f>
        <v/>
      </c>
      <c r="D1046" s="1" t="str">
        <f t="shared" ca="1" si="83"/>
        <v/>
      </c>
      <c r="E1046" s="13" t="str">
        <f t="shared" ca="1" si="84"/>
        <v>No ruin</v>
      </c>
      <c r="F1046">
        <f t="shared" ca="1" si="85"/>
        <v>0</v>
      </c>
    </row>
    <row r="1047" spans="1:6">
      <c r="A1047" s="3" t="str">
        <f t="shared" ca="1" si="81"/>
        <v/>
      </c>
      <c r="B1047" s="2" t="str">
        <f t="shared" ca="1" si="82"/>
        <v/>
      </c>
      <c r="C1047" s="2" t="str">
        <f ca="1">IF(E1046="continue",SUM(B$8:B1047),"")</f>
        <v/>
      </c>
      <c r="D1047" s="1" t="str">
        <f t="shared" ca="1" si="83"/>
        <v/>
      </c>
      <c r="E1047" s="13" t="str">
        <f t="shared" ca="1" si="84"/>
        <v>No ruin</v>
      </c>
      <c r="F1047">
        <f t="shared" ca="1" si="85"/>
        <v>0</v>
      </c>
    </row>
    <row r="1048" spans="1:6">
      <c r="A1048" s="3" t="str">
        <f t="shared" ca="1" si="81"/>
        <v/>
      </c>
      <c r="B1048" s="2" t="str">
        <f t="shared" ca="1" si="82"/>
        <v/>
      </c>
      <c r="C1048" s="2" t="str">
        <f ca="1">IF(E1047="continue",SUM(B$8:B1048),"")</f>
        <v/>
      </c>
      <c r="D1048" s="1" t="str">
        <f t="shared" ca="1" si="83"/>
        <v/>
      </c>
      <c r="E1048" s="13" t="str">
        <f t="shared" ca="1" si="84"/>
        <v>No ruin</v>
      </c>
      <c r="F1048">
        <f t="shared" ca="1" si="85"/>
        <v>0</v>
      </c>
    </row>
    <row r="1049" spans="1:6">
      <c r="A1049" s="3" t="str">
        <f t="shared" ca="1" si="81"/>
        <v/>
      </c>
      <c r="B1049" s="2" t="str">
        <f t="shared" ca="1" si="82"/>
        <v/>
      </c>
      <c r="C1049" s="2" t="str">
        <f ca="1">IF(E1048="continue",SUM(B$8:B1049),"")</f>
        <v/>
      </c>
      <c r="D1049" s="1" t="str">
        <f t="shared" ca="1" si="83"/>
        <v/>
      </c>
      <c r="E1049" s="13" t="str">
        <f t="shared" ca="1" si="84"/>
        <v>No ruin</v>
      </c>
      <c r="F1049">
        <f t="shared" ca="1" si="85"/>
        <v>0</v>
      </c>
    </row>
    <row r="1050" spans="1:6">
      <c r="A1050" s="3" t="str">
        <f t="shared" ca="1" si="81"/>
        <v/>
      </c>
      <c r="B1050" s="2" t="str">
        <f t="shared" ca="1" si="82"/>
        <v/>
      </c>
      <c r="C1050" s="2" t="str">
        <f ca="1">IF(E1049="continue",SUM(B$8:B1050),"")</f>
        <v/>
      </c>
      <c r="D1050" s="1" t="str">
        <f t="shared" ca="1" si="83"/>
        <v/>
      </c>
      <c r="E1050" s="13" t="str">
        <f t="shared" ca="1" si="84"/>
        <v>No ruin</v>
      </c>
      <c r="F1050">
        <f t="shared" ca="1" si="85"/>
        <v>0</v>
      </c>
    </row>
    <row r="1051" spans="1:6">
      <c r="A1051" s="3" t="str">
        <f t="shared" ca="1" si="81"/>
        <v/>
      </c>
      <c r="B1051" s="2" t="str">
        <f t="shared" ca="1" si="82"/>
        <v/>
      </c>
      <c r="C1051" s="2" t="str">
        <f ca="1">IF(E1050="continue",SUM(B$8:B1051),"")</f>
        <v/>
      </c>
      <c r="D1051" s="1" t="str">
        <f t="shared" ca="1" si="83"/>
        <v/>
      </c>
      <c r="E1051" s="13" t="str">
        <f t="shared" ca="1" si="84"/>
        <v>No ruin</v>
      </c>
      <c r="F1051">
        <f t="shared" ca="1" si="85"/>
        <v>0</v>
      </c>
    </row>
    <row r="1052" spans="1:6">
      <c r="A1052" s="3" t="str">
        <f t="shared" ref="A1052:A1115" ca="1" si="86">IF(E1051="continue",-LN(1-RAND())*O$3+A1051,"")</f>
        <v/>
      </c>
      <c r="B1052" s="2" t="str">
        <f t="shared" ref="B1052:B1115" ca="1" si="87">IF(E1051="continue",-LN(1-RAND())*M$3,"")</f>
        <v/>
      </c>
      <c r="C1052" s="2" t="str">
        <f ca="1">IF(E1051="continue",SUM(B$8:B1052),"")</f>
        <v/>
      </c>
      <c r="D1052" s="1" t="str">
        <f t="shared" ref="D1052:D1115" ca="1" si="88">IF(E1051="continue",(1+J$1)*(1/O$3)*M$3*A1052,"")</f>
        <v/>
      </c>
      <c r="E1052" s="13" t="str">
        <f t="shared" ref="E1052:E1115" ca="1" si="89">IF(A1052&gt;G$1,"No ruin",IF(AND(A1052&lt;=G$1,C1052&gt;J$4+D1052),"RUIN","continue"))</f>
        <v>No ruin</v>
      </c>
      <c r="F1052">
        <f t="shared" ca="1" si="85"/>
        <v>0</v>
      </c>
    </row>
    <row r="1053" spans="1:6">
      <c r="A1053" s="3" t="str">
        <f t="shared" ca="1" si="86"/>
        <v/>
      </c>
      <c r="B1053" s="2" t="str">
        <f t="shared" ca="1" si="87"/>
        <v/>
      </c>
      <c r="C1053" s="2" t="str">
        <f ca="1">IF(E1052="continue",SUM(B$8:B1053),"")</f>
        <v/>
      </c>
      <c r="D1053" s="1" t="str">
        <f t="shared" ca="1" si="88"/>
        <v/>
      </c>
      <c r="E1053" s="13" t="str">
        <f t="shared" ca="1" si="89"/>
        <v>No ruin</v>
      </c>
      <c r="F1053">
        <f t="shared" ca="1" si="85"/>
        <v>0</v>
      </c>
    </row>
    <row r="1054" spans="1:6">
      <c r="A1054" s="3" t="str">
        <f t="shared" ca="1" si="86"/>
        <v/>
      </c>
      <c r="B1054" s="2" t="str">
        <f t="shared" ca="1" si="87"/>
        <v/>
      </c>
      <c r="C1054" s="2" t="str">
        <f ca="1">IF(E1053="continue",SUM(B$8:B1054),"")</f>
        <v/>
      </c>
      <c r="D1054" s="1" t="str">
        <f t="shared" ca="1" si="88"/>
        <v/>
      </c>
      <c r="E1054" s="13" t="str">
        <f t="shared" ca="1" si="89"/>
        <v>No ruin</v>
      </c>
      <c r="F1054">
        <f t="shared" ca="1" si="85"/>
        <v>0</v>
      </c>
    </row>
    <row r="1055" spans="1:6">
      <c r="A1055" s="3" t="str">
        <f t="shared" ca="1" si="86"/>
        <v/>
      </c>
      <c r="B1055" s="2" t="str">
        <f t="shared" ca="1" si="87"/>
        <v/>
      </c>
      <c r="C1055" s="2" t="str">
        <f ca="1">IF(E1054="continue",SUM(B$8:B1055),"")</f>
        <v/>
      </c>
      <c r="D1055" s="1" t="str">
        <f t="shared" ca="1" si="88"/>
        <v/>
      </c>
      <c r="E1055" s="13" t="str">
        <f t="shared" ca="1" si="89"/>
        <v>No ruin</v>
      </c>
      <c r="F1055">
        <f t="shared" ca="1" si="85"/>
        <v>0</v>
      </c>
    </row>
    <row r="1056" spans="1:6">
      <c r="A1056" s="3" t="str">
        <f t="shared" ca="1" si="86"/>
        <v/>
      </c>
      <c r="B1056" s="2" t="str">
        <f t="shared" ca="1" si="87"/>
        <v/>
      </c>
      <c r="C1056" s="2" t="str">
        <f ca="1">IF(E1055="continue",SUM(B$8:B1056),"")</f>
        <v/>
      </c>
      <c r="D1056" s="1" t="str">
        <f t="shared" ca="1" si="88"/>
        <v/>
      </c>
      <c r="E1056" s="13" t="str">
        <f t="shared" ca="1" si="89"/>
        <v>No ruin</v>
      </c>
      <c r="F1056">
        <f t="shared" ca="1" si="85"/>
        <v>0</v>
      </c>
    </row>
    <row r="1057" spans="1:6">
      <c r="A1057" s="3" t="str">
        <f t="shared" ca="1" si="86"/>
        <v/>
      </c>
      <c r="B1057" s="2" t="str">
        <f t="shared" ca="1" si="87"/>
        <v/>
      </c>
      <c r="C1057" s="2" t="str">
        <f ca="1">IF(E1056="continue",SUM(B$8:B1057),"")</f>
        <v/>
      </c>
      <c r="D1057" s="1" t="str">
        <f t="shared" ca="1" si="88"/>
        <v/>
      </c>
      <c r="E1057" s="13" t="str">
        <f t="shared" ca="1" si="89"/>
        <v>No ruin</v>
      </c>
      <c r="F1057">
        <f t="shared" ca="1" si="85"/>
        <v>0</v>
      </c>
    </row>
    <row r="1058" spans="1:6">
      <c r="A1058" s="3" t="str">
        <f t="shared" ca="1" si="86"/>
        <v/>
      </c>
      <c r="B1058" s="2" t="str">
        <f t="shared" ca="1" si="87"/>
        <v/>
      </c>
      <c r="C1058" s="2" t="str">
        <f ca="1">IF(E1057="continue",SUM(B$8:B1058),"")</f>
        <v/>
      </c>
      <c r="D1058" s="1" t="str">
        <f t="shared" ca="1" si="88"/>
        <v/>
      </c>
      <c r="E1058" s="13" t="str">
        <f t="shared" ca="1" si="89"/>
        <v>No ruin</v>
      </c>
      <c r="F1058">
        <f t="shared" ca="1" si="85"/>
        <v>0</v>
      </c>
    </row>
    <row r="1059" spans="1:6">
      <c r="A1059" s="3" t="str">
        <f t="shared" ca="1" si="86"/>
        <v/>
      </c>
      <c r="B1059" s="2" t="str">
        <f t="shared" ca="1" si="87"/>
        <v/>
      </c>
      <c r="C1059" s="2" t="str">
        <f ca="1">IF(E1058="continue",SUM(B$8:B1059),"")</f>
        <v/>
      </c>
      <c r="D1059" s="1" t="str">
        <f t="shared" ca="1" si="88"/>
        <v/>
      </c>
      <c r="E1059" s="13" t="str">
        <f t="shared" ca="1" si="89"/>
        <v>No ruin</v>
      </c>
      <c r="F1059">
        <f t="shared" ca="1" si="85"/>
        <v>0</v>
      </c>
    </row>
    <row r="1060" spans="1:6">
      <c r="A1060" s="3" t="str">
        <f t="shared" ca="1" si="86"/>
        <v/>
      </c>
      <c r="B1060" s="2" t="str">
        <f t="shared" ca="1" si="87"/>
        <v/>
      </c>
      <c r="C1060" s="2" t="str">
        <f ca="1">IF(E1059="continue",SUM(B$8:B1060),"")</f>
        <v/>
      </c>
      <c r="D1060" s="1" t="str">
        <f t="shared" ca="1" si="88"/>
        <v/>
      </c>
      <c r="E1060" s="13" t="str">
        <f t="shared" ca="1" si="89"/>
        <v>No ruin</v>
      </c>
      <c r="F1060">
        <f t="shared" ca="1" si="85"/>
        <v>0</v>
      </c>
    </row>
    <row r="1061" spans="1:6">
      <c r="A1061" s="3" t="str">
        <f t="shared" ca="1" si="86"/>
        <v/>
      </c>
      <c r="B1061" s="2" t="str">
        <f t="shared" ca="1" si="87"/>
        <v/>
      </c>
      <c r="C1061" s="2" t="str">
        <f ca="1">IF(E1060="continue",SUM(B$8:B1061),"")</f>
        <v/>
      </c>
      <c r="D1061" s="1" t="str">
        <f t="shared" ca="1" si="88"/>
        <v/>
      </c>
      <c r="E1061" s="13" t="str">
        <f t="shared" ca="1" si="89"/>
        <v>No ruin</v>
      </c>
      <c r="F1061">
        <f t="shared" ca="1" si="85"/>
        <v>0</v>
      </c>
    </row>
    <row r="1062" spans="1:6">
      <c r="A1062" s="3" t="str">
        <f t="shared" ca="1" si="86"/>
        <v/>
      </c>
      <c r="B1062" s="2" t="str">
        <f t="shared" ca="1" si="87"/>
        <v/>
      </c>
      <c r="C1062" s="2" t="str">
        <f ca="1">IF(E1061="continue",SUM(B$8:B1062),"")</f>
        <v/>
      </c>
      <c r="D1062" s="1" t="str">
        <f t="shared" ca="1" si="88"/>
        <v/>
      </c>
      <c r="E1062" s="13" t="str">
        <f t="shared" ca="1" si="89"/>
        <v>No ruin</v>
      </c>
      <c r="F1062">
        <f t="shared" ca="1" si="85"/>
        <v>0</v>
      </c>
    </row>
    <row r="1063" spans="1:6">
      <c r="A1063" s="3" t="str">
        <f t="shared" ca="1" si="86"/>
        <v/>
      </c>
      <c r="B1063" s="2" t="str">
        <f t="shared" ca="1" si="87"/>
        <v/>
      </c>
      <c r="C1063" s="2" t="str">
        <f ca="1">IF(E1062="continue",SUM(B$8:B1063),"")</f>
        <v/>
      </c>
      <c r="D1063" s="1" t="str">
        <f t="shared" ca="1" si="88"/>
        <v/>
      </c>
      <c r="E1063" s="13" t="str">
        <f t="shared" ca="1" si="89"/>
        <v>No ruin</v>
      </c>
      <c r="F1063">
        <f t="shared" ca="1" si="85"/>
        <v>0</v>
      </c>
    </row>
    <row r="1064" spans="1:6">
      <c r="A1064" s="3" t="str">
        <f t="shared" ca="1" si="86"/>
        <v/>
      </c>
      <c r="B1064" s="2" t="str">
        <f t="shared" ca="1" si="87"/>
        <v/>
      </c>
      <c r="C1064" s="2" t="str">
        <f ca="1">IF(E1063="continue",SUM(B$8:B1064),"")</f>
        <v/>
      </c>
      <c r="D1064" s="1" t="str">
        <f t="shared" ca="1" si="88"/>
        <v/>
      </c>
      <c r="E1064" s="13" t="str">
        <f t="shared" ca="1" si="89"/>
        <v>No ruin</v>
      </c>
      <c r="F1064">
        <f t="shared" ca="1" si="85"/>
        <v>0</v>
      </c>
    </row>
    <row r="1065" spans="1:6">
      <c r="A1065" s="3" t="str">
        <f t="shared" ca="1" si="86"/>
        <v/>
      </c>
      <c r="B1065" s="2" t="str">
        <f t="shared" ca="1" si="87"/>
        <v/>
      </c>
      <c r="C1065" s="2" t="str">
        <f ca="1">IF(E1064="continue",SUM(B$8:B1065),"")</f>
        <v/>
      </c>
      <c r="D1065" s="1" t="str">
        <f t="shared" ca="1" si="88"/>
        <v/>
      </c>
      <c r="E1065" s="13" t="str">
        <f t="shared" ca="1" si="89"/>
        <v>No ruin</v>
      </c>
      <c r="F1065">
        <f t="shared" ca="1" si="85"/>
        <v>0</v>
      </c>
    </row>
    <row r="1066" spans="1:6">
      <c r="A1066" s="3" t="str">
        <f t="shared" ca="1" si="86"/>
        <v/>
      </c>
      <c r="B1066" s="2" t="str">
        <f t="shared" ca="1" si="87"/>
        <v/>
      </c>
      <c r="C1066" s="2" t="str">
        <f ca="1">IF(E1065="continue",SUM(B$8:B1066),"")</f>
        <v/>
      </c>
      <c r="D1066" s="1" t="str">
        <f t="shared" ca="1" si="88"/>
        <v/>
      </c>
      <c r="E1066" s="13" t="str">
        <f t="shared" ca="1" si="89"/>
        <v>No ruin</v>
      </c>
      <c r="F1066">
        <f t="shared" ca="1" si="85"/>
        <v>0</v>
      </c>
    </row>
    <row r="1067" spans="1:6">
      <c r="A1067" s="3" t="str">
        <f t="shared" ca="1" si="86"/>
        <v/>
      </c>
      <c r="B1067" s="2" t="str">
        <f t="shared" ca="1" si="87"/>
        <v/>
      </c>
      <c r="C1067" s="2" t="str">
        <f ca="1">IF(E1066="continue",SUM(B$8:B1067),"")</f>
        <v/>
      </c>
      <c r="D1067" s="1" t="str">
        <f t="shared" ca="1" si="88"/>
        <v/>
      </c>
      <c r="E1067" s="13" t="str">
        <f t="shared" ca="1" si="89"/>
        <v>No ruin</v>
      </c>
      <c r="F1067">
        <f t="shared" ca="1" si="85"/>
        <v>0</v>
      </c>
    </row>
    <row r="1068" spans="1:6">
      <c r="A1068" s="3" t="str">
        <f t="shared" ca="1" si="86"/>
        <v/>
      </c>
      <c r="B1068" s="2" t="str">
        <f t="shared" ca="1" si="87"/>
        <v/>
      </c>
      <c r="C1068" s="2" t="str">
        <f ca="1">IF(E1067="continue",SUM(B$8:B1068),"")</f>
        <v/>
      </c>
      <c r="D1068" s="1" t="str">
        <f t="shared" ca="1" si="88"/>
        <v/>
      </c>
      <c r="E1068" s="13" t="str">
        <f t="shared" ca="1" si="89"/>
        <v>No ruin</v>
      </c>
      <c r="F1068">
        <f t="shared" ca="1" si="85"/>
        <v>0</v>
      </c>
    </row>
    <row r="1069" spans="1:6">
      <c r="A1069" s="3" t="str">
        <f t="shared" ca="1" si="86"/>
        <v/>
      </c>
      <c r="B1069" s="2" t="str">
        <f t="shared" ca="1" si="87"/>
        <v/>
      </c>
      <c r="C1069" s="2" t="str">
        <f ca="1">IF(E1068="continue",SUM(B$8:B1069),"")</f>
        <v/>
      </c>
      <c r="D1069" s="1" t="str">
        <f t="shared" ca="1" si="88"/>
        <v/>
      </c>
      <c r="E1069" s="13" t="str">
        <f t="shared" ca="1" si="89"/>
        <v>No ruin</v>
      </c>
      <c r="F1069">
        <f t="shared" ca="1" si="85"/>
        <v>0</v>
      </c>
    </row>
    <row r="1070" spans="1:6">
      <c r="A1070" s="3" t="str">
        <f t="shared" ca="1" si="86"/>
        <v/>
      </c>
      <c r="B1070" s="2" t="str">
        <f t="shared" ca="1" si="87"/>
        <v/>
      </c>
      <c r="C1070" s="2" t="str">
        <f ca="1">IF(E1069="continue",SUM(B$8:B1070),"")</f>
        <v/>
      </c>
      <c r="D1070" s="1" t="str">
        <f t="shared" ca="1" si="88"/>
        <v/>
      </c>
      <c r="E1070" s="13" t="str">
        <f t="shared" ca="1" si="89"/>
        <v>No ruin</v>
      </c>
      <c r="F1070">
        <f t="shared" ca="1" si="85"/>
        <v>0</v>
      </c>
    </row>
    <row r="1071" spans="1:6">
      <c r="A1071" s="3" t="str">
        <f t="shared" ca="1" si="86"/>
        <v/>
      </c>
      <c r="B1071" s="2" t="str">
        <f t="shared" ca="1" si="87"/>
        <v/>
      </c>
      <c r="C1071" s="2" t="str">
        <f ca="1">IF(E1070="continue",SUM(B$8:B1071),"")</f>
        <v/>
      </c>
      <c r="D1071" s="1" t="str">
        <f t="shared" ca="1" si="88"/>
        <v/>
      </c>
      <c r="E1071" s="13" t="str">
        <f t="shared" ca="1" si="89"/>
        <v>No ruin</v>
      </c>
      <c r="F1071">
        <f t="shared" ca="1" si="85"/>
        <v>0</v>
      </c>
    </row>
    <row r="1072" spans="1:6">
      <c r="A1072" s="3" t="str">
        <f t="shared" ca="1" si="86"/>
        <v/>
      </c>
      <c r="B1072" s="2" t="str">
        <f t="shared" ca="1" si="87"/>
        <v/>
      </c>
      <c r="C1072" s="2" t="str">
        <f ca="1">IF(E1071="continue",SUM(B$8:B1072),"")</f>
        <v/>
      </c>
      <c r="D1072" s="1" t="str">
        <f t="shared" ca="1" si="88"/>
        <v/>
      </c>
      <c r="E1072" s="13" t="str">
        <f t="shared" ca="1" si="89"/>
        <v>No ruin</v>
      </c>
      <c r="F1072">
        <f t="shared" ca="1" si="85"/>
        <v>0</v>
      </c>
    </row>
    <row r="1073" spans="1:6">
      <c r="A1073" s="3" t="str">
        <f t="shared" ca="1" si="86"/>
        <v/>
      </c>
      <c r="B1073" s="2" t="str">
        <f t="shared" ca="1" si="87"/>
        <v/>
      </c>
      <c r="C1073" s="2" t="str">
        <f ca="1">IF(E1072="continue",SUM(B$8:B1073),"")</f>
        <v/>
      </c>
      <c r="D1073" s="1" t="str">
        <f t="shared" ca="1" si="88"/>
        <v/>
      </c>
      <c r="E1073" s="13" t="str">
        <f t="shared" ca="1" si="89"/>
        <v>No ruin</v>
      </c>
      <c r="F1073">
        <f t="shared" ca="1" si="85"/>
        <v>0</v>
      </c>
    </row>
    <row r="1074" spans="1:6">
      <c r="A1074" s="3" t="str">
        <f t="shared" ca="1" si="86"/>
        <v/>
      </c>
      <c r="B1074" s="2" t="str">
        <f t="shared" ca="1" si="87"/>
        <v/>
      </c>
      <c r="C1074" s="2" t="str">
        <f ca="1">IF(E1073="continue",SUM(B$8:B1074),"")</f>
        <v/>
      </c>
      <c r="D1074" s="1" t="str">
        <f t="shared" ca="1" si="88"/>
        <v/>
      </c>
      <c r="E1074" s="13" t="str">
        <f t="shared" ca="1" si="89"/>
        <v>No ruin</v>
      </c>
      <c r="F1074">
        <f t="shared" ca="1" si="85"/>
        <v>0</v>
      </c>
    </row>
    <row r="1075" spans="1:6">
      <c r="A1075" s="3" t="str">
        <f t="shared" ca="1" si="86"/>
        <v/>
      </c>
      <c r="B1075" s="2" t="str">
        <f t="shared" ca="1" si="87"/>
        <v/>
      </c>
      <c r="C1075" s="2" t="str">
        <f ca="1">IF(E1074="continue",SUM(B$8:B1075),"")</f>
        <v/>
      </c>
      <c r="D1075" s="1" t="str">
        <f t="shared" ca="1" si="88"/>
        <v/>
      </c>
      <c r="E1075" s="13" t="str">
        <f t="shared" ca="1" si="89"/>
        <v>No ruin</v>
      </c>
      <c r="F1075">
        <f t="shared" ca="1" si="85"/>
        <v>0</v>
      </c>
    </row>
    <row r="1076" spans="1:6">
      <c r="A1076" s="3" t="str">
        <f t="shared" ca="1" si="86"/>
        <v/>
      </c>
      <c r="B1076" s="2" t="str">
        <f t="shared" ca="1" si="87"/>
        <v/>
      </c>
      <c r="C1076" s="2" t="str">
        <f ca="1">IF(E1075="continue",SUM(B$8:B1076),"")</f>
        <v/>
      </c>
      <c r="D1076" s="1" t="str">
        <f t="shared" ca="1" si="88"/>
        <v/>
      </c>
      <c r="E1076" s="13" t="str">
        <f t="shared" ca="1" si="89"/>
        <v>No ruin</v>
      </c>
      <c r="F1076">
        <f t="shared" ca="1" si="85"/>
        <v>0</v>
      </c>
    </row>
    <row r="1077" spans="1:6">
      <c r="A1077" s="3" t="str">
        <f t="shared" ca="1" si="86"/>
        <v/>
      </c>
      <c r="B1077" s="2" t="str">
        <f t="shared" ca="1" si="87"/>
        <v/>
      </c>
      <c r="C1077" s="2" t="str">
        <f ca="1">IF(E1076="continue",SUM(B$8:B1077),"")</f>
        <v/>
      </c>
      <c r="D1077" s="1" t="str">
        <f t="shared" ca="1" si="88"/>
        <v/>
      </c>
      <c r="E1077" s="13" t="str">
        <f t="shared" ca="1" si="89"/>
        <v>No ruin</v>
      </c>
      <c r="F1077">
        <f t="shared" ca="1" si="85"/>
        <v>0</v>
      </c>
    </row>
    <row r="1078" spans="1:6">
      <c r="A1078" s="3" t="str">
        <f t="shared" ca="1" si="86"/>
        <v/>
      </c>
      <c r="B1078" s="2" t="str">
        <f t="shared" ca="1" si="87"/>
        <v/>
      </c>
      <c r="C1078" s="2" t="str">
        <f ca="1">IF(E1077="continue",SUM(B$8:B1078),"")</f>
        <v/>
      </c>
      <c r="D1078" s="1" t="str">
        <f t="shared" ca="1" si="88"/>
        <v/>
      </c>
      <c r="E1078" s="13" t="str">
        <f t="shared" ca="1" si="89"/>
        <v>No ruin</v>
      </c>
      <c r="F1078">
        <f t="shared" ca="1" si="85"/>
        <v>0</v>
      </c>
    </row>
    <row r="1079" spans="1:6">
      <c r="A1079" s="3" t="str">
        <f t="shared" ca="1" si="86"/>
        <v/>
      </c>
      <c r="B1079" s="2" t="str">
        <f t="shared" ca="1" si="87"/>
        <v/>
      </c>
      <c r="C1079" s="2" t="str">
        <f ca="1">IF(E1078="continue",SUM(B$8:B1079),"")</f>
        <v/>
      </c>
      <c r="D1079" s="1" t="str">
        <f t="shared" ca="1" si="88"/>
        <v/>
      </c>
      <c r="E1079" s="13" t="str">
        <f t="shared" ca="1" si="89"/>
        <v>No ruin</v>
      </c>
      <c r="F1079">
        <f t="shared" ca="1" si="85"/>
        <v>0</v>
      </c>
    </row>
    <row r="1080" spans="1:6">
      <c r="A1080" s="3" t="str">
        <f t="shared" ca="1" si="86"/>
        <v/>
      </c>
      <c r="B1080" s="2" t="str">
        <f t="shared" ca="1" si="87"/>
        <v/>
      </c>
      <c r="C1080" s="2" t="str">
        <f ca="1">IF(E1079="continue",SUM(B$8:B1080),"")</f>
        <v/>
      </c>
      <c r="D1080" s="1" t="str">
        <f t="shared" ca="1" si="88"/>
        <v/>
      </c>
      <c r="E1080" s="13" t="str">
        <f t="shared" ca="1" si="89"/>
        <v>No ruin</v>
      </c>
      <c r="F1080">
        <f t="shared" ca="1" si="85"/>
        <v>0</v>
      </c>
    </row>
    <row r="1081" spans="1:6">
      <c r="A1081" s="3" t="str">
        <f t="shared" ca="1" si="86"/>
        <v/>
      </c>
      <c r="B1081" s="2" t="str">
        <f t="shared" ca="1" si="87"/>
        <v/>
      </c>
      <c r="C1081" s="2" t="str">
        <f ca="1">IF(E1080="continue",SUM(B$8:B1081),"")</f>
        <v/>
      </c>
      <c r="D1081" s="1" t="str">
        <f t="shared" ca="1" si="88"/>
        <v/>
      </c>
      <c r="E1081" s="13" t="str">
        <f t="shared" ca="1" si="89"/>
        <v>No ruin</v>
      </c>
      <c r="F1081">
        <f t="shared" ca="1" si="85"/>
        <v>0</v>
      </c>
    </row>
    <row r="1082" spans="1:6">
      <c r="A1082" s="3" t="str">
        <f t="shared" ca="1" si="86"/>
        <v/>
      </c>
      <c r="B1082" s="2" t="str">
        <f t="shared" ca="1" si="87"/>
        <v/>
      </c>
      <c r="C1082" s="2" t="str">
        <f ca="1">IF(E1081="continue",SUM(B$8:B1082),"")</f>
        <v/>
      </c>
      <c r="D1082" s="1" t="str">
        <f t="shared" ca="1" si="88"/>
        <v/>
      </c>
      <c r="E1082" s="13" t="str">
        <f t="shared" ca="1" si="89"/>
        <v>No ruin</v>
      </c>
      <c r="F1082">
        <f t="shared" ca="1" si="85"/>
        <v>0</v>
      </c>
    </row>
    <row r="1083" spans="1:6">
      <c r="A1083" s="3" t="str">
        <f t="shared" ca="1" si="86"/>
        <v/>
      </c>
      <c r="B1083" s="2" t="str">
        <f t="shared" ca="1" si="87"/>
        <v/>
      </c>
      <c r="C1083" s="2" t="str">
        <f ca="1">IF(E1082="continue",SUM(B$8:B1083),"")</f>
        <v/>
      </c>
      <c r="D1083" s="1" t="str">
        <f t="shared" ca="1" si="88"/>
        <v/>
      </c>
      <c r="E1083" s="13" t="str">
        <f t="shared" ca="1" si="89"/>
        <v>No ruin</v>
      </c>
      <c r="F1083">
        <f t="shared" ca="1" si="85"/>
        <v>0</v>
      </c>
    </row>
    <row r="1084" spans="1:6">
      <c r="A1084" s="3" t="str">
        <f t="shared" ca="1" si="86"/>
        <v/>
      </c>
      <c r="B1084" s="2" t="str">
        <f t="shared" ca="1" si="87"/>
        <v/>
      </c>
      <c r="C1084" s="2" t="str">
        <f ca="1">IF(E1083="continue",SUM(B$8:B1084),"")</f>
        <v/>
      </c>
      <c r="D1084" s="1" t="str">
        <f t="shared" ca="1" si="88"/>
        <v/>
      </c>
      <c r="E1084" s="13" t="str">
        <f t="shared" ca="1" si="89"/>
        <v>No ruin</v>
      </c>
      <c r="F1084">
        <f t="shared" ca="1" si="85"/>
        <v>0</v>
      </c>
    </row>
    <row r="1085" spans="1:6">
      <c r="A1085" s="3" t="str">
        <f t="shared" ca="1" si="86"/>
        <v/>
      </c>
      <c r="B1085" s="2" t="str">
        <f t="shared" ca="1" si="87"/>
        <v/>
      </c>
      <c r="C1085" s="2" t="str">
        <f ca="1">IF(E1084="continue",SUM(B$8:B1085),"")</f>
        <v/>
      </c>
      <c r="D1085" s="1" t="str">
        <f t="shared" ca="1" si="88"/>
        <v/>
      </c>
      <c r="E1085" s="13" t="str">
        <f t="shared" ca="1" si="89"/>
        <v>No ruin</v>
      </c>
      <c r="F1085">
        <f t="shared" ca="1" si="85"/>
        <v>0</v>
      </c>
    </row>
    <row r="1086" spans="1:6">
      <c r="A1086" s="3" t="str">
        <f t="shared" ca="1" si="86"/>
        <v/>
      </c>
      <c r="B1086" s="2" t="str">
        <f t="shared" ca="1" si="87"/>
        <v/>
      </c>
      <c r="C1086" s="2" t="str">
        <f ca="1">IF(E1085="continue",SUM(B$8:B1086),"")</f>
        <v/>
      </c>
      <c r="D1086" s="1" t="str">
        <f t="shared" ca="1" si="88"/>
        <v/>
      </c>
      <c r="E1086" s="13" t="str">
        <f t="shared" ca="1" si="89"/>
        <v>No ruin</v>
      </c>
      <c r="F1086">
        <f t="shared" ca="1" si="85"/>
        <v>0</v>
      </c>
    </row>
    <row r="1087" spans="1:6">
      <c r="A1087" s="3" t="str">
        <f t="shared" ca="1" si="86"/>
        <v/>
      </c>
      <c r="B1087" s="2" t="str">
        <f t="shared" ca="1" si="87"/>
        <v/>
      </c>
      <c r="C1087" s="2" t="str">
        <f ca="1">IF(E1086="continue",SUM(B$8:B1087),"")</f>
        <v/>
      </c>
      <c r="D1087" s="1" t="str">
        <f t="shared" ca="1" si="88"/>
        <v/>
      </c>
      <c r="E1087" s="13" t="str">
        <f t="shared" ca="1" si="89"/>
        <v>No ruin</v>
      </c>
      <c r="F1087">
        <f t="shared" ca="1" si="85"/>
        <v>0</v>
      </c>
    </row>
    <row r="1088" spans="1:6">
      <c r="A1088" s="3" t="str">
        <f t="shared" ca="1" si="86"/>
        <v/>
      </c>
      <c r="B1088" s="2" t="str">
        <f t="shared" ca="1" si="87"/>
        <v/>
      </c>
      <c r="C1088" s="2" t="str">
        <f ca="1">IF(E1087="continue",SUM(B$8:B1088),"")</f>
        <v/>
      </c>
      <c r="D1088" s="1" t="str">
        <f t="shared" ca="1" si="88"/>
        <v/>
      </c>
      <c r="E1088" s="13" t="str">
        <f t="shared" ca="1" si="89"/>
        <v>No ruin</v>
      </c>
      <c r="F1088">
        <f t="shared" ca="1" si="85"/>
        <v>0</v>
      </c>
    </row>
    <row r="1089" spans="1:6">
      <c r="A1089" s="3" t="str">
        <f t="shared" ca="1" si="86"/>
        <v/>
      </c>
      <c r="B1089" s="2" t="str">
        <f t="shared" ca="1" si="87"/>
        <v/>
      </c>
      <c r="C1089" s="2" t="str">
        <f ca="1">IF(E1088="continue",SUM(B$8:B1089),"")</f>
        <v/>
      </c>
      <c r="D1089" s="1" t="str">
        <f t="shared" ca="1" si="88"/>
        <v/>
      </c>
      <c r="E1089" s="13" t="str">
        <f t="shared" ca="1" si="89"/>
        <v>No ruin</v>
      </c>
      <c r="F1089">
        <f t="shared" ca="1" si="85"/>
        <v>0</v>
      </c>
    </row>
    <row r="1090" spans="1:6">
      <c r="A1090" s="3" t="str">
        <f t="shared" ca="1" si="86"/>
        <v/>
      </c>
      <c r="B1090" s="2" t="str">
        <f t="shared" ca="1" si="87"/>
        <v/>
      </c>
      <c r="C1090" s="2" t="str">
        <f ca="1">IF(E1089="continue",SUM(B$8:B1090),"")</f>
        <v/>
      </c>
      <c r="D1090" s="1" t="str">
        <f t="shared" ca="1" si="88"/>
        <v/>
      </c>
      <c r="E1090" s="13" t="str">
        <f t="shared" ca="1" si="89"/>
        <v>No ruin</v>
      </c>
      <c r="F1090">
        <f t="shared" ca="1" si="85"/>
        <v>0</v>
      </c>
    </row>
    <row r="1091" spans="1:6">
      <c r="A1091" s="3" t="str">
        <f t="shared" ca="1" si="86"/>
        <v/>
      </c>
      <c r="B1091" s="2" t="str">
        <f t="shared" ca="1" si="87"/>
        <v/>
      </c>
      <c r="C1091" s="2" t="str">
        <f ca="1">IF(E1090="continue",SUM(B$8:B1091),"")</f>
        <v/>
      </c>
      <c r="D1091" s="1" t="str">
        <f t="shared" ca="1" si="88"/>
        <v/>
      </c>
      <c r="E1091" s="13" t="str">
        <f t="shared" ca="1" si="89"/>
        <v>No ruin</v>
      </c>
      <c r="F1091">
        <f t="shared" ca="1" si="85"/>
        <v>0</v>
      </c>
    </row>
    <row r="1092" spans="1:6">
      <c r="A1092" s="3" t="str">
        <f t="shared" ca="1" si="86"/>
        <v/>
      </c>
      <c r="B1092" s="2" t="str">
        <f t="shared" ca="1" si="87"/>
        <v/>
      </c>
      <c r="C1092" s="2" t="str">
        <f ca="1">IF(E1091="continue",SUM(B$8:B1092),"")</f>
        <v/>
      </c>
      <c r="D1092" s="1" t="str">
        <f t="shared" ca="1" si="88"/>
        <v/>
      </c>
      <c r="E1092" s="13" t="str">
        <f t="shared" ca="1" si="89"/>
        <v>No ruin</v>
      </c>
      <c r="F1092">
        <f t="shared" ca="1" si="85"/>
        <v>0</v>
      </c>
    </row>
    <row r="1093" spans="1:6">
      <c r="A1093" s="3" t="str">
        <f t="shared" ca="1" si="86"/>
        <v/>
      </c>
      <c r="B1093" s="2" t="str">
        <f t="shared" ca="1" si="87"/>
        <v/>
      </c>
      <c r="C1093" s="2" t="str">
        <f ca="1">IF(E1092="continue",SUM(B$8:B1093),"")</f>
        <v/>
      </c>
      <c r="D1093" s="1" t="str">
        <f t="shared" ca="1" si="88"/>
        <v/>
      </c>
      <c r="E1093" s="13" t="str">
        <f t="shared" ca="1" si="89"/>
        <v>No ruin</v>
      </c>
      <c r="F1093">
        <f t="shared" ca="1" si="85"/>
        <v>0</v>
      </c>
    </row>
    <row r="1094" spans="1:6">
      <c r="A1094" s="3" t="str">
        <f t="shared" ca="1" si="86"/>
        <v/>
      </c>
      <c r="B1094" s="2" t="str">
        <f t="shared" ca="1" si="87"/>
        <v/>
      </c>
      <c r="C1094" s="2" t="str">
        <f ca="1">IF(E1093="continue",SUM(B$8:B1094),"")</f>
        <v/>
      </c>
      <c r="D1094" s="1" t="str">
        <f t="shared" ca="1" si="88"/>
        <v/>
      </c>
      <c r="E1094" s="13" t="str">
        <f t="shared" ca="1" si="89"/>
        <v>No ruin</v>
      </c>
      <c r="F1094">
        <f t="shared" ca="1" si="85"/>
        <v>0</v>
      </c>
    </row>
    <row r="1095" spans="1:6">
      <c r="A1095" s="3" t="str">
        <f t="shared" ca="1" si="86"/>
        <v/>
      </c>
      <c r="B1095" s="2" t="str">
        <f t="shared" ca="1" si="87"/>
        <v/>
      </c>
      <c r="C1095" s="2" t="str">
        <f ca="1">IF(E1094="continue",SUM(B$8:B1095),"")</f>
        <v/>
      </c>
      <c r="D1095" s="1" t="str">
        <f t="shared" ca="1" si="88"/>
        <v/>
      </c>
      <c r="E1095" s="13" t="str">
        <f t="shared" ca="1" si="89"/>
        <v>No ruin</v>
      </c>
      <c r="F1095">
        <f t="shared" ca="1" si="85"/>
        <v>0</v>
      </c>
    </row>
    <row r="1096" spans="1:6">
      <c r="A1096" s="3" t="str">
        <f t="shared" ca="1" si="86"/>
        <v/>
      </c>
      <c r="B1096" s="2" t="str">
        <f t="shared" ca="1" si="87"/>
        <v/>
      </c>
      <c r="C1096" s="2" t="str">
        <f ca="1">IF(E1095="continue",SUM(B$8:B1096),"")</f>
        <v/>
      </c>
      <c r="D1096" s="1" t="str">
        <f t="shared" ca="1" si="88"/>
        <v/>
      </c>
      <c r="E1096" s="13" t="str">
        <f t="shared" ca="1" si="89"/>
        <v>No ruin</v>
      </c>
      <c r="F1096">
        <f t="shared" ca="1" si="85"/>
        <v>0</v>
      </c>
    </row>
    <row r="1097" spans="1:6">
      <c r="A1097" s="3" t="str">
        <f t="shared" ca="1" si="86"/>
        <v/>
      </c>
      <c r="B1097" s="2" t="str">
        <f t="shared" ca="1" si="87"/>
        <v/>
      </c>
      <c r="C1097" s="2" t="str">
        <f ca="1">IF(E1096="continue",SUM(B$8:B1097),"")</f>
        <v/>
      </c>
      <c r="D1097" s="1" t="str">
        <f t="shared" ca="1" si="88"/>
        <v/>
      </c>
      <c r="E1097" s="13" t="str">
        <f t="shared" ca="1" si="89"/>
        <v>No ruin</v>
      </c>
      <c r="F1097">
        <f t="shared" ca="1" si="85"/>
        <v>0</v>
      </c>
    </row>
    <row r="1098" spans="1:6">
      <c r="A1098" s="3" t="str">
        <f t="shared" ca="1" si="86"/>
        <v/>
      </c>
      <c r="B1098" s="2" t="str">
        <f t="shared" ca="1" si="87"/>
        <v/>
      </c>
      <c r="C1098" s="2" t="str">
        <f ca="1">IF(E1097="continue",SUM(B$8:B1098),"")</f>
        <v/>
      </c>
      <c r="D1098" s="1" t="str">
        <f t="shared" ca="1" si="88"/>
        <v/>
      </c>
      <c r="E1098" s="13" t="str">
        <f t="shared" ca="1" si="89"/>
        <v>No ruin</v>
      </c>
      <c r="F1098">
        <f t="shared" ref="F1098:F1161" ca="1" si="90">IF(E1098="RUIN",1,0)</f>
        <v>0</v>
      </c>
    </row>
    <row r="1099" spans="1:6">
      <c r="A1099" s="3" t="str">
        <f t="shared" ca="1" si="86"/>
        <v/>
      </c>
      <c r="B1099" s="2" t="str">
        <f t="shared" ca="1" si="87"/>
        <v/>
      </c>
      <c r="C1099" s="2" t="str">
        <f ca="1">IF(E1098="continue",SUM(B$8:B1099),"")</f>
        <v/>
      </c>
      <c r="D1099" s="1" t="str">
        <f t="shared" ca="1" si="88"/>
        <v/>
      </c>
      <c r="E1099" s="13" t="str">
        <f t="shared" ca="1" si="89"/>
        <v>No ruin</v>
      </c>
      <c r="F1099">
        <f t="shared" ca="1" si="90"/>
        <v>0</v>
      </c>
    </row>
    <row r="1100" spans="1:6">
      <c r="A1100" s="3" t="str">
        <f t="shared" ca="1" si="86"/>
        <v/>
      </c>
      <c r="B1100" s="2" t="str">
        <f t="shared" ca="1" si="87"/>
        <v/>
      </c>
      <c r="C1100" s="2" t="str">
        <f ca="1">IF(E1099="continue",SUM(B$8:B1100),"")</f>
        <v/>
      </c>
      <c r="D1100" s="1" t="str">
        <f t="shared" ca="1" si="88"/>
        <v/>
      </c>
      <c r="E1100" s="13" t="str">
        <f t="shared" ca="1" si="89"/>
        <v>No ruin</v>
      </c>
      <c r="F1100">
        <f t="shared" ca="1" si="90"/>
        <v>0</v>
      </c>
    </row>
    <row r="1101" spans="1:6">
      <c r="A1101" s="3" t="str">
        <f t="shared" ca="1" si="86"/>
        <v/>
      </c>
      <c r="B1101" s="2" t="str">
        <f t="shared" ca="1" si="87"/>
        <v/>
      </c>
      <c r="C1101" s="2" t="str">
        <f ca="1">IF(E1100="continue",SUM(B$8:B1101),"")</f>
        <v/>
      </c>
      <c r="D1101" s="1" t="str">
        <f t="shared" ca="1" si="88"/>
        <v/>
      </c>
      <c r="E1101" s="13" t="str">
        <f t="shared" ca="1" si="89"/>
        <v>No ruin</v>
      </c>
      <c r="F1101">
        <f t="shared" ca="1" si="90"/>
        <v>0</v>
      </c>
    </row>
    <row r="1102" spans="1:6">
      <c r="A1102" s="3" t="str">
        <f t="shared" ca="1" si="86"/>
        <v/>
      </c>
      <c r="B1102" s="2" t="str">
        <f t="shared" ca="1" si="87"/>
        <v/>
      </c>
      <c r="C1102" s="2" t="str">
        <f ca="1">IF(E1101="continue",SUM(B$8:B1102),"")</f>
        <v/>
      </c>
      <c r="D1102" s="1" t="str">
        <f t="shared" ca="1" si="88"/>
        <v/>
      </c>
      <c r="E1102" s="13" t="str">
        <f t="shared" ca="1" si="89"/>
        <v>No ruin</v>
      </c>
      <c r="F1102">
        <f t="shared" ca="1" si="90"/>
        <v>0</v>
      </c>
    </row>
    <row r="1103" spans="1:6">
      <c r="A1103" s="3" t="str">
        <f t="shared" ca="1" si="86"/>
        <v/>
      </c>
      <c r="B1103" s="2" t="str">
        <f t="shared" ca="1" si="87"/>
        <v/>
      </c>
      <c r="C1103" s="2" t="str">
        <f ca="1">IF(E1102="continue",SUM(B$8:B1103),"")</f>
        <v/>
      </c>
      <c r="D1103" s="1" t="str">
        <f t="shared" ca="1" si="88"/>
        <v/>
      </c>
      <c r="E1103" s="13" t="str">
        <f t="shared" ca="1" si="89"/>
        <v>No ruin</v>
      </c>
      <c r="F1103">
        <f t="shared" ca="1" si="90"/>
        <v>0</v>
      </c>
    </row>
    <row r="1104" spans="1:6">
      <c r="A1104" s="3" t="str">
        <f t="shared" ca="1" si="86"/>
        <v/>
      </c>
      <c r="B1104" s="2" t="str">
        <f t="shared" ca="1" si="87"/>
        <v/>
      </c>
      <c r="C1104" s="2" t="str">
        <f ca="1">IF(E1103="continue",SUM(B$8:B1104),"")</f>
        <v/>
      </c>
      <c r="D1104" s="1" t="str">
        <f t="shared" ca="1" si="88"/>
        <v/>
      </c>
      <c r="E1104" s="13" t="str">
        <f t="shared" ca="1" si="89"/>
        <v>No ruin</v>
      </c>
      <c r="F1104">
        <f t="shared" ca="1" si="90"/>
        <v>0</v>
      </c>
    </row>
    <row r="1105" spans="1:6">
      <c r="A1105" s="3" t="str">
        <f t="shared" ca="1" si="86"/>
        <v/>
      </c>
      <c r="B1105" s="2" t="str">
        <f t="shared" ca="1" si="87"/>
        <v/>
      </c>
      <c r="C1105" s="2" t="str">
        <f ca="1">IF(E1104="continue",SUM(B$8:B1105),"")</f>
        <v/>
      </c>
      <c r="D1105" s="1" t="str">
        <f t="shared" ca="1" si="88"/>
        <v/>
      </c>
      <c r="E1105" s="13" t="str">
        <f t="shared" ca="1" si="89"/>
        <v>No ruin</v>
      </c>
      <c r="F1105">
        <f t="shared" ca="1" si="90"/>
        <v>0</v>
      </c>
    </row>
    <row r="1106" spans="1:6">
      <c r="A1106" s="3" t="str">
        <f t="shared" ca="1" si="86"/>
        <v/>
      </c>
      <c r="B1106" s="2" t="str">
        <f t="shared" ca="1" si="87"/>
        <v/>
      </c>
      <c r="C1106" s="2" t="str">
        <f ca="1">IF(E1105="continue",SUM(B$8:B1106),"")</f>
        <v/>
      </c>
      <c r="D1106" s="1" t="str">
        <f t="shared" ca="1" si="88"/>
        <v/>
      </c>
      <c r="E1106" s="13" t="str">
        <f t="shared" ca="1" si="89"/>
        <v>No ruin</v>
      </c>
      <c r="F1106">
        <f t="shared" ca="1" si="90"/>
        <v>0</v>
      </c>
    </row>
    <row r="1107" spans="1:6">
      <c r="A1107" s="3" t="str">
        <f t="shared" ca="1" si="86"/>
        <v/>
      </c>
      <c r="B1107" s="2" t="str">
        <f t="shared" ca="1" si="87"/>
        <v/>
      </c>
      <c r="C1107" s="2" t="str">
        <f ca="1">IF(E1106="continue",SUM(B$8:B1107),"")</f>
        <v/>
      </c>
      <c r="D1107" s="1" t="str">
        <f t="shared" ca="1" si="88"/>
        <v/>
      </c>
      <c r="E1107" s="13" t="str">
        <f t="shared" ca="1" si="89"/>
        <v>No ruin</v>
      </c>
      <c r="F1107">
        <f t="shared" ca="1" si="90"/>
        <v>0</v>
      </c>
    </row>
    <row r="1108" spans="1:6">
      <c r="A1108" s="3" t="str">
        <f t="shared" ca="1" si="86"/>
        <v/>
      </c>
      <c r="B1108" s="2" t="str">
        <f t="shared" ca="1" si="87"/>
        <v/>
      </c>
      <c r="C1108" s="2" t="str">
        <f ca="1">IF(E1107="continue",SUM(B$8:B1108),"")</f>
        <v/>
      </c>
      <c r="D1108" s="1" t="str">
        <f t="shared" ca="1" si="88"/>
        <v/>
      </c>
      <c r="E1108" s="13" t="str">
        <f t="shared" ca="1" si="89"/>
        <v>No ruin</v>
      </c>
      <c r="F1108">
        <f t="shared" ca="1" si="90"/>
        <v>0</v>
      </c>
    </row>
    <row r="1109" spans="1:6">
      <c r="A1109" s="3" t="str">
        <f t="shared" ca="1" si="86"/>
        <v/>
      </c>
      <c r="B1109" s="2" t="str">
        <f t="shared" ca="1" si="87"/>
        <v/>
      </c>
      <c r="C1109" s="2" t="str">
        <f ca="1">IF(E1108="continue",SUM(B$8:B1109),"")</f>
        <v/>
      </c>
      <c r="D1109" s="1" t="str">
        <f t="shared" ca="1" si="88"/>
        <v/>
      </c>
      <c r="E1109" s="13" t="str">
        <f t="shared" ca="1" si="89"/>
        <v>No ruin</v>
      </c>
      <c r="F1109">
        <f t="shared" ca="1" si="90"/>
        <v>0</v>
      </c>
    </row>
    <row r="1110" spans="1:6">
      <c r="A1110" s="3" t="str">
        <f t="shared" ca="1" si="86"/>
        <v/>
      </c>
      <c r="B1110" s="2" t="str">
        <f t="shared" ca="1" si="87"/>
        <v/>
      </c>
      <c r="C1110" s="2" t="str">
        <f ca="1">IF(E1109="continue",SUM(B$8:B1110),"")</f>
        <v/>
      </c>
      <c r="D1110" s="1" t="str">
        <f t="shared" ca="1" si="88"/>
        <v/>
      </c>
      <c r="E1110" s="13" t="str">
        <f t="shared" ca="1" si="89"/>
        <v>No ruin</v>
      </c>
      <c r="F1110">
        <f t="shared" ca="1" si="90"/>
        <v>0</v>
      </c>
    </row>
    <row r="1111" spans="1:6">
      <c r="A1111" s="3" t="str">
        <f t="shared" ca="1" si="86"/>
        <v/>
      </c>
      <c r="B1111" s="2" t="str">
        <f t="shared" ca="1" si="87"/>
        <v/>
      </c>
      <c r="C1111" s="2" t="str">
        <f ca="1">IF(E1110="continue",SUM(B$8:B1111),"")</f>
        <v/>
      </c>
      <c r="D1111" s="1" t="str">
        <f t="shared" ca="1" si="88"/>
        <v/>
      </c>
      <c r="E1111" s="13" t="str">
        <f t="shared" ca="1" si="89"/>
        <v>No ruin</v>
      </c>
      <c r="F1111">
        <f t="shared" ca="1" si="90"/>
        <v>0</v>
      </c>
    </row>
    <row r="1112" spans="1:6">
      <c r="A1112" s="3" t="str">
        <f t="shared" ca="1" si="86"/>
        <v/>
      </c>
      <c r="B1112" s="2" t="str">
        <f t="shared" ca="1" si="87"/>
        <v/>
      </c>
      <c r="C1112" s="2" t="str">
        <f ca="1">IF(E1111="continue",SUM(B$8:B1112),"")</f>
        <v/>
      </c>
      <c r="D1112" s="1" t="str">
        <f t="shared" ca="1" si="88"/>
        <v/>
      </c>
      <c r="E1112" s="13" t="str">
        <f t="shared" ca="1" si="89"/>
        <v>No ruin</v>
      </c>
      <c r="F1112">
        <f t="shared" ca="1" si="90"/>
        <v>0</v>
      </c>
    </row>
    <row r="1113" spans="1:6">
      <c r="A1113" s="3" t="str">
        <f t="shared" ca="1" si="86"/>
        <v/>
      </c>
      <c r="B1113" s="2" t="str">
        <f t="shared" ca="1" si="87"/>
        <v/>
      </c>
      <c r="C1113" s="2" t="str">
        <f ca="1">IF(E1112="continue",SUM(B$8:B1113),"")</f>
        <v/>
      </c>
      <c r="D1113" s="1" t="str">
        <f t="shared" ca="1" si="88"/>
        <v/>
      </c>
      <c r="E1113" s="13" t="str">
        <f t="shared" ca="1" si="89"/>
        <v>No ruin</v>
      </c>
      <c r="F1113">
        <f t="shared" ca="1" si="90"/>
        <v>0</v>
      </c>
    </row>
    <row r="1114" spans="1:6">
      <c r="A1114" s="3" t="str">
        <f t="shared" ca="1" si="86"/>
        <v/>
      </c>
      <c r="B1114" s="2" t="str">
        <f t="shared" ca="1" si="87"/>
        <v/>
      </c>
      <c r="C1114" s="2" t="str">
        <f ca="1">IF(E1113="continue",SUM(B$8:B1114),"")</f>
        <v/>
      </c>
      <c r="D1114" s="1" t="str">
        <f t="shared" ca="1" si="88"/>
        <v/>
      </c>
      <c r="E1114" s="13" t="str">
        <f t="shared" ca="1" si="89"/>
        <v>No ruin</v>
      </c>
      <c r="F1114">
        <f t="shared" ca="1" si="90"/>
        <v>0</v>
      </c>
    </row>
    <row r="1115" spans="1:6">
      <c r="A1115" s="3" t="str">
        <f t="shared" ca="1" si="86"/>
        <v/>
      </c>
      <c r="B1115" s="2" t="str">
        <f t="shared" ca="1" si="87"/>
        <v/>
      </c>
      <c r="C1115" s="2" t="str">
        <f ca="1">IF(E1114="continue",SUM(B$8:B1115),"")</f>
        <v/>
      </c>
      <c r="D1115" s="1" t="str">
        <f t="shared" ca="1" si="88"/>
        <v/>
      </c>
      <c r="E1115" s="13" t="str">
        <f t="shared" ca="1" si="89"/>
        <v>No ruin</v>
      </c>
      <c r="F1115">
        <f t="shared" ca="1" si="90"/>
        <v>0</v>
      </c>
    </row>
    <row r="1116" spans="1:6">
      <c r="A1116" s="3" t="str">
        <f t="shared" ref="A1116:A1179" ca="1" si="91">IF(E1115="continue",-LN(1-RAND())*O$3+A1115,"")</f>
        <v/>
      </c>
      <c r="B1116" s="2" t="str">
        <f t="shared" ref="B1116:B1179" ca="1" si="92">IF(E1115="continue",-LN(1-RAND())*M$3,"")</f>
        <v/>
      </c>
      <c r="C1116" s="2" t="str">
        <f ca="1">IF(E1115="continue",SUM(B$8:B1116),"")</f>
        <v/>
      </c>
      <c r="D1116" s="1" t="str">
        <f t="shared" ref="D1116:D1179" ca="1" si="93">IF(E1115="continue",(1+J$1)*(1/O$3)*M$3*A1116,"")</f>
        <v/>
      </c>
      <c r="E1116" s="13" t="str">
        <f t="shared" ref="E1116:E1179" ca="1" si="94">IF(A1116&gt;G$1,"No ruin",IF(AND(A1116&lt;=G$1,C1116&gt;J$4+D1116),"RUIN","continue"))</f>
        <v>No ruin</v>
      </c>
      <c r="F1116">
        <f t="shared" ca="1" si="90"/>
        <v>0</v>
      </c>
    </row>
    <row r="1117" spans="1:6">
      <c r="A1117" s="3" t="str">
        <f t="shared" ca="1" si="91"/>
        <v/>
      </c>
      <c r="B1117" s="2" t="str">
        <f t="shared" ca="1" si="92"/>
        <v/>
      </c>
      <c r="C1117" s="2" t="str">
        <f ca="1">IF(E1116="continue",SUM(B$8:B1117),"")</f>
        <v/>
      </c>
      <c r="D1117" s="1" t="str">
        <f t="shared" ca="1" si="93"/>
        <v/>
      </c>
      <c r="E1117" s="13" t="str">
        <f t="shared" ca="1" si="94"/>
        <v>No ruin</v>
      </c>
      <c r="F1117">
        <f t="shared" ca="1" si="90"/>
        <v>0</v>
      </c>
    </row>
    <row r="1118" spans="1:6">
      <c r="A1118" s="3" t="str">
        <f t="shared" ca="1" si="91"/>
        <v/>
      </c>
      <c r="B1118" s="2" t="str">
        <f t="shared" ca="1" si="92"/>
        <v/>
      </c>
      <c r="C1118" s="2" t="str">
        <f ca="1">IF(E1117="continue",SUM(B$8:B1118),"")</f>
        <v/>
      </c>
      <c r="D1118" s="1" t="str">
        <f t="shared" ca="1" si="93"/>
        <v/>
      </c>
      <c r="E1118" s="13" t="str">
        <f t="shared" ca="1" si="94"/>
        <v>No ruin</v>
      </c>
      <c r="F1118">
        <f t="shared" ca="1" si="90"/>
        <v>0</v>
      </c>
    </row>
    <row r="1119" spans="1:6">
      <c r="A1119" s="3" t="str">
        <f t="shared" ca="1" si="91"/>
        <v/>
      </c>
      <c r="B1119" s="2" t="str">
        <f t="shared" ca="1" si="92"/>
        <v/>
      </c>
      <c r="C1119" s="2" t="str">
        <f ca="1">IF(E1118="continue",SUM(B$8:B1119),"")</f>
        <v/>
      </c>
      <c r="D1119" s="1" t="str">
        <f t="shared" ca="1" si="93"/>
        <v/>
      </c>
      <c r="E1119" s="13" t="str">
        <f t="shared" ca="1" si="94"/>
        <v>No ruin</v>
      </c>
      <c r="F1119">
        <f t="shared" ca="1" si="90"/>
        <v>0</v>
      </c>
    </row>
    <row r="1120" spans="1:6">
      <c r="A1120" s="3" t="str">
        <f t="shared" ca="1" si="91"/>
        <v/>
      </c>
      <c r="B1120" s="2" t="str">
        <f t="shared" ca="1" si="92"/>
        <v/>
      </c>
      <c r="C1120" s="2" t="str">
        <f ca="1">IF(E1119="continue",SUM(B$8:B1120),"")</f>
        <v/>
      </c>
      <c r="D1120" s="1" t="str">
        <f t="shared" ca="1" si="93"/>
        <v/>
      </c>
      <c r="E1120" s="13" t="str">
        <f t="shared" ca="1" si="94"/>
        <v>No ruin</v>
      </c>
      <c r="F1120">
        <f t="shared" ca="1" si="90"/>
        <v>0</v>
      </c>
    </row>
    <row r="1121" spans="1:6">
      <c r="A1121" s="3" t="str">
        <f t="shared" ca="1" si="91"/>
        <v/>
      </c>
      <c r="B1121" s="2" t="str">
        <f t="shared" ca="1" si="92"/>
        <v/>
      </c>
      <c r="C1121" s="2" t="str">
        <f ca="1">IF(E1120="continue",SUM(B$8:B1121),"")</f>
        <v/>
      </c>
      <c r="D1121" s="1" t="str">
        <f t="shared" ca="1" si="93"/>
        <v/>
      </c>
      <c r="E1121" s="13" t="str">
        <f t="shared" ca="1" si="94"/>
        <v>No ruin</v>
      </c>
      <c r="F1121">
        <f t="shared" ca="1" si="90"/>
        <v>0</v>
      </c>
    </row>
    <row r="1122" spans="1:6">
      <c r="A1122" s="3" t="str">
        <f t="shared" ca="1" si="91"/>
        <v/>
      </c>
      <c r="B1122" s="2" t="str">
        <f t="shared" ca="1" si="92"/>
        <v/>
      </c>
      <c r="C1122" s="2" t="str">
        <f ca="1">IF(E1121="continue",SUM(B$8:B1122),"")</f>
        <v/>
      </c>
      <c r="D1122" s="1" t="str">
        <f t="shared" ca="1" si="93"/>
        <v/>
      </c>
      <c r="E1122" s="13" t="str">
        <f t="shared" ca="1" si="94"/>
        <v>No ruin</v>
      </c>
      <c r="F1122">
        <f t="shared" ca="1" si="90"/>
        <v>0</v>
      </c>
    </row>
    <row r="1123" spans="1:6">
      <c r="A1123" s="3" t="str">
        <f t="shared" ca="1" si="91"/>
        <v/>
      </c>
      <c r="B1123" s="2" t="str">
        <f t="shared" ca="1" si="92"/>
        <v/>
      </c>
      <c r="C1123" s="2" t="str">
        <f ca="1">IF(E1122="continue",SUM(B$8:B1123),"")</f>
        <v/>
      </c>
      <c r="D1123" s="1" t="str">
        <f t="shared" ca="1" si="93"/>
        <v/>
      </c>
      <c r="E1123" s="13" t="str">
        <f t="shared" ca="1" si="94"/>
        <v>No ruin</v>
      </c>
      <c r="F1123">
        <f t="shared" ca="1" si="90"/>
        <v>0</v>
      </c>
    </row>
    <row r="1124" spans="1:6">
      <c r="A1124" s="3" t="str">
        <f t="shared" ca="1" si="91"/>
        <v/>
      </c>
      <c r="B1124" s="2" t="str">
        <f t="shared" ca="1" si="92"/>
        <v/>
      </c>
      <c r="C1124" s="2" t="str">
        <f ca="1">IF(E1123="continue",SUM(B$8:B1124),"")</f>
        <v/>
      </c>
      <c r="D1124" s="1" t="str">
        <f t="shared" ca="1" si="93"/>
        <v/>
      </c>
      <c r="E1124" s="13" t="str">
        <f t="shared" ca="1" si="94"/>
        <v>No ruin</v>
      </c>
      <c r="F1124">
        <f t="shared" ca="1" si="90"/>
        <v>0</v>
      </c>
    </row>
    <row r="1125" spans="1:6">
      <c r="A1125" s="3" t="str">
        <f t="shared" ca="1" si="91"/>
        <v/>
      </c>
      <c r="B1125" s="2" t="str">
        <f t="shared" ca="1" si="92"/>
        <v/>
      </c>
      <c r="C1125" s="2" t="str">
        <f ca="1">IF(E1124="continue",SUM(B$8:B1125),"")</f>
        <v/>
      </c>
      <c r="D1125" s="1" t="str">
        <f t="shared" ca="1" si="93"/>
        <v/>
      </c>
      <c r="E1125" s="13" t="str">
        <f t="shared" ca="1" si="94"/>
        <v>No ruin</v>
      </c>
      <c r="F1125">
        <f t="shared" ca="1" si="90"/>
        <v>0</v>
      </c>
    </row>
    <row r="1126" spans="1:6">
      <c r="A1126" s="3" t="str">
        <f t="shared" ca="1" si="91"/>
        <v/>
      </c>
      <c r="B1126" s="2" t="str">
        <f t="shared" ca="1" si="92"/>
        <v/>
      </c>
      <c r="C1126" s="2" t="str">
        <f ca="1">IF(E1125="continue",SUM(B$8:B1126),"")</f>
        <v/>
      </c>
      <c r="D1126" s="1" t="str">
        <f t="shared" ca="1" si="93"/>
        <v/>
      </c>
      <c r="E1126" s="13" t="str">
        <f t="shared" ca="1" si="94"/>
        <v>No ruin</v>
      </c>
      <c r="F1126">
        <f t="shared" ca="1" si="90"/>
        <v>0</v>
      </c>
    </row>
    <row r="1127" spans="1:6">
      <c r="A1127" s="3" t="str">
        <f t="shared" ca="1" si="91"/>
        <v/>
      </c>
      <c r="B1127" s="2" t="str">
        <f t="shared" ca="1" si="92"/>
        <v/>
      </c>
      <c r="C1127" s="2" t="str">
        <f ca="1">IF(E1126="continue",SUM(B$8:B1127),"")</f>
        <v/>
      </c>
      <c r="D1127" s="1" t="str">
        <f t="shared" ca="1" si="93"/>
        <v/>
      </c>
      <c r="E1127" s="13" t="str">
        <f t="shared" ca="1" si="94"/>
        <v>No ruin</v>
      </c>
      <c r="F1127">
        <f t="shared" ca="1" si="90"/>
        <v>0</v>
      </c>
    </row>
    <row r="1128" spans="1:6">
      <c r="A1128" s="3" t="str">
        <f t="shared" ca="1" si="91"/>
        <v/>
      </c>
      <c r="B1128" s="2" t="str">
        <f t="shared" ca="1" si="92"/>
        <v/>
      </c>
      <c r="C1128" s="2" t="str">
        <f ca="1">IF(E1127="continue",SUM(B$8:B1128),"")</f>
        <v/>
      </c>
      <c r="D1128" s="1" t="str">
        <f t="shared" ca="1" si="93"/>
        <v/>
      </c>
      <c r="E1128" s="13" t="str">
        <f t="shared" ca="1" si="94"/>
        <v>No ruin</v>
      </c>
      <c r="F1128">
        <f t="shared" ca="1" si="90"/>
        <v>0</v>
      </c>
    </row>
    <row r="1129" spans="1:6">
      <c r="A1129" s="3" t="str">
        <f t="shared" ca="1" si="91"/>
        <v/>
      </c>
      <c r="B1129" s="2" t="str">
        <f t="shared" ca="1" si="92"/>
        <v/>
      </c>
      <c r="C1129" s="2" t="str">
        <f ca="1">IF(E1128="continue",SUM(B$8:B1129),"")</f>
        <v/>
      </c>
      <c r="D1129" s="1" t="str">
        <f t="shared" ca="1" si="93"/>
        <v/>
      </c>
      <c r="E1129" s="13" t="str">
        <f t="shared" ca="1" si="94"/>
        <v>No ruin</v>
      </c>
      <c r="F1129">
        <f t="shared" ca="1" si="90"/>
        <v>0</v>
      </c>
    </row>
    <row r="1130" spans="1:6">
      <c r="A1130" s="3" t="str">
        <f t="shared" ca="1" si="91"/>
        <v/>
      </c>
      <c r="B1130" s="2" t="str">
        <f t="shared" ca="1" si="92"/>
        <v/>
      </c>
      <c r="C1130" s="2" t="str">
        <f ca="1">IF(E1129="continue",SUM(B$8:B1130),"")</f>
        <v/>
      </c>
      <c r="D1130" s="1" t="str">
        <f t="shared" ca="1" si="93"/>
        <v/>
      </c>
      <c r="E1130" s="13" t="str">
        <f t="shared" ca="1" si="94"/>
        <v>No ruin</v>
      </c>
      <c r="F1130">
        <f t="shared" ca="1" si="90"/>
        <v>0</v>
      </c>
    </row>
    <row r="1131" spans="1:6">
      <c r="A1131" s="3" t="str">
        <f t="shared" ca="1" si="91"/>
        <v/>
      </c>
      <c r="B1131" s="2" t="str">
        <f t="shared" ca="1" si="92"/>
        <v/>
      </c>
      <c r="C1131" s="2" t="str">
        <f ca="1">IF(E1130="continue",SUM(B$8:B1131),"")</f>
        <v/>
      </c>
      <c r="D1131" s="1" t="str">
        <f t="shared" ca="1" si="93"/>
        <v/>
      </c>
      <c r="E1131" s="13" t="str">
        <f t="shared" ca="1" si="94"/>
        <v>No ruin</v>
      </c>
      <c r="F1131">
        <f t="shared" ca="1" si="90"/>
        <v>0</v>
      </c>
    </row>
    <row r="1132" spans="1:6">
      <c r="A1132" s="3" t="str">
        <f t="shared" ca="1" si="91"/>
        <v/>
      </c>
      <c r="B1132" s="2" t="str">
        <f t="shared" ca="1" si="92"/>
        <v/>
      </c>
      <c r="C1132" s="2" t="str">
        <f ca="1">IF(E1131="continue",SUM(B$8:B1132),"")</f>
        <v/>
      </c>
      <c r="D1132" s="1" t="str">
        <f t="shared" ca="1" si="93"/>
        <v/>
      </c>
      <c r="E1132" s="13" t="str">
        <f t="shared" ca="1" si="94"/>
        <v>No ruin</v>
      </c>
      <c r="F1132">
        <f t="shared" ca="1" si="90"/>
        <v>0</v>
      </c>
    </row>
    <row r="1133" spans="1:6">
      <c r="A1133" s="3" t="str">
        <f t="shared" ca="1" si="91"/>
        <v/>
      </c>
      <c r="B1133" s="2" t="str">
        <f t="shared" ca="1" si="92"/>
        <v/>
      </c>
      <c r="C1133" s="2" t="str">
        <f ca="1">IF(E1132="continue",SUM(B$8:B1133),"")</f>
        <v/>
      </c>
      <c r="D1133" s="1" t="str">
        <f t="shared" ca="1" si="93"/>
        <v/>
      </c>
      <c r="E1133" s="13" t="str">
        <f t="shared" ca="1" si="94"/>
        <v>No ruin</v>
      </c>
      <c r="F1133">
        <f t="shared" ca="1" si="90"/>
        <v>0</v>
      </c>
    </row>
    <row r="1134" spans="1:6">
      <c r="A1134" s="3" t="str">
        <f t="shared" ca="1" si="91"/>
        <v/>
      </c>
      <c r="B1134" s="2" t="str">
        <f t="shared" ca="1" si="92"/>
        <v/>
      </c>
      <c r="C1134" s="2" t="str">
        <f ca="1">IF(E1133="continue",SUM(B$8:B1134),"")</f>
        <v/>
      </c>
      <c r="D1134" s="1" t="str">
        <f t="shared" ca="1" si="93"/>
        <v/>
      </c>
      <c r="E1134" s="13" t="str">
        <f t="shared" ca="1" si="94"/>
        <v>No ruin</v>
      </c>
      <c r="F1134">
        <f t="shared" ca="1" si="90"/>
        <v>0</v>
      </c>
    </row>
    <row r="1135" spans="1:6">
      <c r="A1135" s="3" t="str">
        <f t="shared" ca="1" si="91"/>
        <v/>
      </c>
      <c r="B1135" s="2" t="str">
        <f t="shared" ca="1" si="92"/>
        <v/>
      </c>
      <c r="C1135" s="2" t="str">
        <f ca="1">IF(E1134="continue",SUM(B$8:B1135),"")</f>
        <v/>
      </c>
      <c r="D1135" s="1" t="str">
        <f t="shared" ca="1" si="93"/>
        <v/>
      </c>
      <c r="E1135" s="13" t="str">
        <f t="shared" ca="1" si="94"/>
        <v>No ruin</v>
      </c>
      <c r="F1135">
        <f t="shared" ca="1" si="90"/>
        <v>0</v>
      </c>
    </row>
    <row r="1136" spans="1:6">
      <c r="A1136" s="3" t="str">
        <f t="shared" ca="1" si="91"/>
        <v/>
      </c>
      <c r="B1136" s="2" t="str">
        <f t="shared" ca="1" si="92"/>
        <v/>
      </c>
      <c r="C1136" s="2" t="str">
        <f ca="1">IF(E1135="continue",SUM(B$8:B1136),"")</f>
        <v/>
      </c>
      <c r="D1136" s="1" t="str">
        <f t="shared" ca="1" si="93"/>
        <v/>
      </c>
      <c r="E1136" s="13" t="str">
        <f t="shared" ca="1" si="94"/>
        <v>No ruin</v>
      </c>
      <c r="F1136">
        <f t="shared" ca="1" si="90"/>
        <v>0</v>
      </c>
    </row>
    <row r="1137" spans="1:6">
      <c r="A1137" s="3" t="str">
        <f t="shared" ca="1" si="91"/>
        <v/>
      </c>
      <c r="B1137" s="2" t="str">
        <f t="shared" ca="1" si="92"/>
        <v/>
      </c>
      <c r="C1137" s="2" t="str">
        <f ca="1">IF(E1136="continue",SUM(B$8:B1137),"")</f>
        <v/>
      </c>
      <c r="D1137" s="1" t="str">
        <f t="shared" ca="1" si="93"/>
        <v/>
      </c>
      <c r="E1137" s="13" t="str">
        <f t="shared" ca="1" si="94"/>
        <v>No ruin</v>
      </c>
      <c r="F1137">
        <f t="shared" ca="1" si="90"/>
        <v>0</v>
      </c>
    </row>
    <row r="1138" spans="1:6">
      <c r="A1138" s="3" t="str">
        <f t="shared" ca="1" si="91"/>
        <v/>
      </c>
      <c r="B1138" s="2" t="str">
        <f t="shared" ca="1" si="92"/>
        <v/>
      </c>
      <c r="C1138" s="2" t="str">
        <f ca="1">IF(E1137="continue",SUM(B$8:B1138),"")</f>
        <v/>
      </c>
      <c r="D1138" s="1" t="str">
        <f t="shared" ca="1" si="93"/>
        <v/>
      </c>
      <c r="E1138" s="13" t="str">
        <f t="shared" ca="1" si="94"/>
        <v>No ruin</v>
      </c>
      <c r="F1138">
        <f t="shared" ca="1" si="90"/>
        <v>0</v>
      </c>
    </row>
    <row r="1139" spans="1:6">
      <c r="A1139" s="3" t="str">
        <f t="shared" ca="1" si="91"/>
        <v/>
      </c>
      <c r="B1139" s="2" t="str">
        <f t="shared" ca="1" si="92"/>
        <v/>
      </c>
      <c r="C1139" s="2" t="str">
        <f ca="1">IF(E1138="continue",SUM(B$8:B1139),"")</f>
        <v/>
      </c>
      <c r="D1139" s="1" t="str">
        <f t="shared" ca="1" si="93"/>
        <v/>
      </c>
      <c r="E1139" s="13" t="str">
        <f t="shared" ca="1" si="94"/>
        <v>No ruin</v>
      </c>
      <c r="F1139">
        <f t="shared" ca="1" si="90"/>
        <v>0</v>
      </c>
    </row>
    <row r="1140" spans="1:6">
      <c r="A1140" s="3" t="str">
        <f t="shared" ca="1" si="91"/>
        <v/>
      </c>
      <c r="B1140" s="2" t="str">
        <f t="shared" ca="1" si="92"/>
        <v/>
      </c>
      <c r="C1140" s="2" t="str">
        <f ca="1">IF(E1139="continue",SUM(B$8:B1140),"")</f>
        <v/>
      </c>
      <c r="D1140" s="1" t="str">
        <f t="shared" ca="1" si="93"/>
        <v/>
      </c>
      <c r="E1140" s="13" t="str">
        <f t="shared" ca="1" si="94"/>
        <v>No ruin</v>
      </c>
      <c r="F1140">
        <f t="shared" ca="1" si="90"/>
        <v>0</v>
      </c>
    </row>
    <row r="1141" spans="1:6">
      <c r="A1141" s="3" t="str">
        <f t="shared" ca="1" si="91"/>
        <v/>
      </c>
      <c r="B1141" s="2" t="str">
        <f t="shared" ca="1" si="92"/>
        <v/>
      </c>
      <c r="C1141" s="2" t="str">
        <f ca="1">IF(E1140="continue",SUM(B$8:B1141),"")</f>
        <v/>
      </c>
      <c r="D1141" s="1" t="str">
        <f t="shared" ca="1" si="93"/>
        <v/>
      </c>
      <c r="E1141" s="13" t="str">
        <f t="shared" ca="1" si="94"/>
        <v>No ruin</v>
      </c>
      <c r="F1141">
        <f t="shared" ca="1" si="90"/>
        <v>0</v>
      </c>
    </row>
    <row r="1142" spans="1:6">
      <c r="A1142" s="3" t="str">
        <f t="shared" ca="1" si="91"/>
        <v/>
      </c>
      <c r="B1142" s="2" t="str">
        <f t="shared" ca="1" si="92"/>
        <v/>
      </c>
      <c r="C1142" s="2" t="str">
        <f ca="1">IF(E1141="continue",SUM(B$8:B1142),"")</f>
        <v/>
      </c>
      <c r="D1142" s="1" t="str">
        <f t="shared" ca="1" si="93"/>
        <v/>
      </c>
      <c r="E1142" s="13" t="str">
        <f t="shared" ca="1" si="94"/>
        <v>No ruin</v>
      </c>
      <c r="F1142">
        <f t="shared" ca="1" si="90"/>
        <v>0</v>
      </c>
    </row>
    <row r="1143" spans="1:6">
      <c r="A1143" s="3" t="str">
        <f t="shared" ca="1" si="91"/>
        <v/>
      </c>
      <c r="B1143" s="2" t="str">
        <f t="shared" ca="1" si="92"/>
        <v/>
      </c>
      <c r="C1143" s="2" t="str">
        <f ca="1">IF(E1142="continue",SUM(B$8:B1143),"")</f>
        <v/>
      </c>
      <c r="D1143" s="1" t="str">
        <f t="shared" ca="1" si="93"/>
        <v/>
      </c>
      <c r="E1143" s="13" t="str">
        <f t="shared" ca="1" si="94"/>
        <v>No ruin</v>
      </c>
      <c r="F1143">
        <f t="shared" ca="1" si="90"/>
        <v>0</v>
      </c>
    </row>
    <row r="1144" spans="1:6">
      <c r="A1144" s="3" t="str">
        <f t="shared" ca="1" si="91"/>
        <v/>
      </c>
      <c r="B1144" s="2" t="str">
        <f t="shared" ca="1" si="92"/>
        <v/>
      </c>
      <c r="C1144" s="2" t="str">
        <f ca="1">IF(E1143="continue",SUM(B$8:B1144),"")</f>
        <v/>
      </c>
      <c r="D1144" s="1" t="str">
        <f t="shared" ca="1" si="93"/>
        <v/>
      </c>
      <c r="E1144" s="13" t="str">
        <f t="shared" ca="1" si="94"/>
        <v>No ruin</v>
      </c>
      <c r="F1144">
        <f t="shared" ca="1" si="90"/>
        <v>0</v>
      </c>
    </row>
    <row r="1145" spans="1:6">
      <c r="A1145" s="3" t="str">
        <f t="shared" ca="1" si="91"/>
        <v/>
      </c>
      <c r="B1145" s="2" t="str">
        <f t="shared" ca="1" si="92"/>
        <v/>
      </c>
      <c r="C1145" s="2" t="str">
        <f ca="1">IF(E1144="continue",SUM(B$8:B1145),"")</f>
        <v/>
      </c>
      <c r="D1145" s="1" t="str">
        <f t="shared" ca="1" si="93"/>
        <v/>
      </c>
      <c r="E1145" s="13" t="str">
        <f t="shared" ca="1" si="94"/>
        <v>No ruin</v>
      </c>
      <c r="F1145">
        <f t="shared" ca="1" si="90"/>
        <v>0</v>
      </c>
    </row>
    <row r="1146" spans="1:6">
      <c r="A1146" s="3" t="str">
        <f t="shared" ca="1" si="91"/>
        <v/>
      </c>
      <c r="B1146" s="2" t="str">
        <f t="shared" ca="1" si="92"/>
        <v/>
      </c>
      <c r="C1146" s="2" t="str">
        <f ca="1">IF(E1145="continue",SUM(B$8:B1146),"")</f>
        <v/>
      </c>
      <c r="D1146" s="1" t="str">
        <f t="shared" ca="1" si="93"/>
        <v/>
      </c>
      <c r="E1146" s="13" t="str">
        <f t="shared" ca="1" si="94"/>
        <v>No ruin</v>
      </c>
      <c r="F1146">
        <f t="shared" ca="1" si="90"/>
        <v>0</v>
      </c>
    </row>
    <row r="1147" spans="1:6">
      <c r="A1147" s="3" t="str">
        <f t="shared" ca="1" si="91"/>
        <v/>
      </c>
      <c r="B1147" s="2" t="str">
        <f t="shared" ca="1" si="92"/>
        <v/>
      </c>
      <c r="C1147" s="2" t="str">
        <f ca="1">IF(E1146="continue",SUM(B$8:B1147),"")</f>
        <v/>
      </c>
      <c r="D1147" s="1" t="str">
        <f t="shared" ca="1" si="93"/>
        <v/>
      </c>
      <c r="E1147" s="13" t="str">
        <f t="shared" ca="1" si="94"/>
        <v>No ruin</v>
      </c>
      <c r="F1147">
        <f t="shared" ca="1" si="90"/>
        <v>0</v>
      </c>
    </row>
    <row r="1148" spans="1:6">
      <c r="A1148" s="3" t="str">
        <f t="shared" ca="1" si="91"/>
        <v/>
      </c>
      <c r="B1148" s="2" t="str">
        <f t="shared" ca="1" si="92"/>
        <v/>
      </c>
      <c r="C1148" s="2" t="str">
        <f ca="1">IF(E1147="continue",SUM(B$8:B1148),"")</f>
        <v/>
      </c>
      <c r="D1148" s="1" t="str">
        <f t="shared" ca="1" si="93"/>
        <v/>
      </c>
      <c r="E1148" s="13" t="str">
        <f t="shared" ca="1" si="94"/>
        <v>No ruin</v>
      </c>
      <c r="F1148">
        <f t="shared" ca="1" si="90"/>
        <v>0</v>
      </c>
    </row>
    <row r="1149" spans="1:6">
      <c r="A1149" s="3" t="str">
        <f t="shared" ca="1" si="91"/>
        <v/>
      </c>
      <c r="B1149" s="2" t="str">
        <f t="shared" ca="1" si="92"/>
        <v/>
      </c>
      <c r="C1149" s="2" t="str">
        <f ca="1">IF(E1148="continue",SUM(B$8:B1149),"")</f>
        <v/>
      </c>
      <c r="D1149" s="1" t="str">
        <f t="shared" ca="1" si="93"/>
        <v/>
      </c>
      <c r="E1149" s="13" t="str">
        <f t="shared" ca="1" si="94"/>
        <v>No ruin</v>
      </c>
      <c r="F1149">
        <f t="shared" ca="1" si="90"/>
        <v>0</v>
      </c>
    </row>
    <row r="1150" spans="1:6">
      <c r="A1150" s="3" t="str">
        <f t="shared" ca="1" si="91"/>
        <v/>
      </c>
      <c r="B1150" s="2" t="str">
        <f t="shared" ca="1" si="92"/>
        <v/>
      </c>
      <c r="C1150" s="2" t="str">
        <f ca="1">IF(E1149="continue",SUM(B$8:B1150),"")</f>
        <v/>
      </c>
      <c r="D1150" s="1" t="str">
        <f t="shared" ca="1" si="93"/>
        <v/>
      </c>
      <c r="E1150" s="13" t="str">
        <f t="shared" ca="1" si="94"/>
        <v>No ruin</v>
      </c>
      <c r="F1150">
        <f t="shared" ca="1" si="90"/>
        <v>0</v>
      </c>
    </row>
    <row r="1151" spans="1:6">
      <c r="A1151" s="3" t="str">
        <f t="shared" ca="1" si="91"/>
        <v/>
      </c>
      <c r="B1151" s="2" t="str">
        <f t="shared" ca="1" si="92"/>
        <v/>
      </c>
      <c r="C1151" s="2" t="str">
        <f ca="1">IF(E1150="continue",SUM(B$8:B1151),"")</f>
        <v/>
      </c>
      <c r="D1151" s="1" t="str">
        <f t="shared" ca="1" si="93"/>
        <v/>
      </c>
      <c r="E1151" s="13" t="str">
        <f t="shared" ca="1" si="94"/>
        <v>No ruin</v>
      </c>
      <c r="F1151">
        <f t="shared" ca="1" si="90"/>
        <v>0</v>
      </c>
    </row>
    <row r="1152" spans="1:6">
      <c r="A1152" s="3" t="str">
        <f t="shared" ca="1" si="91"/>
        <v/>
      </c>
      <c r="B1152" s="2" t="str">
        <f t="shared" ca="1" si="92"/>
        <v/>
      </c>
      <c r="C1152" s="2" t="str">
        <f ca="1">IF(E1151="continue",SUM(B$8:B1152),"")</f>
        <v/>
      </c>
      <c r="D1152" s="1" t="str">
        <f t="shared" ca="1" si="93"/>
        <v/>
      </c>
      <c r="E1152" s="13" t="str">
        <f t="shared" ca="1" si="94"/>
        <v>No ruin</v>
      </c>
      <c r="F1152">
        <f t="shared" ca="1" si="90"/>
        <v>0</v>
      </c>
    </row>
    <row r="1153" spans="1:6">
      <c r="A1153" s="3" t="str">
        <f t="shared" ca="1" si="91"/>
        <v/>
      </c>
      <c r="B1153" s="2" t="str">
        <f t="shared" ca="1" si="92"/>
        <v/>
      </c>
      <c r="C1153" s="2" t="str">
        <f ca="1">IF(E1152="continue",SUM(B$8:B1153),"")</f>
        <v/>
      </c>
      <c r="D1153" s="1" t="str">
        <f t="shared" ca="1" si="93"/>
        <v/>
      </c>
      <c r="E1153" s="13" t="str">
        <f t="shared" ca="1" si="94"/>
        <v>No ruin</v>
      </c>
      <c r="F1153">
        <f t="shared" ca="1" si="90"/>
        <v>0</v>
      </c>
    </row>
    <row r="1154" spans="1:6">
      <c r="A1154" s="3" t="str">
        <f t="shared" ca="1" si="91"/>
        <v/>
      </c>
      <c r="B1154" s="2" t="str">
        <f t="shared" ca="1" si="92"/>
        <v/>
      </c>
      <c r="C1154" s="2" t="str">
        <f ca="1">IF(E1153="continue",SUM(B$8:B1154),"")</f>
        <v/>
      </c>
      <c r="D1154" s="1" t="str">
        <f t="shared" ca="1" si="93"/>
        <v/>
      </c>
      <c r="E1154" s="13" t="str">
        <f t="shared" ca="1" si="94"/>
        <v>No ruin</v>
      </c>
      <c r="F1154">
        <f t="shared" ca="1" si="90"/>
        <v>0</v>
      </c>
    </row>
    <row r="1155" spans="1:6">
      <c r="A1155" s="3" t="str">
        <f t="shared" ca="1" si="91"/>
        <v/>
      </c>
      <c r="B1155" s="2" t="str">
        <f t="shared" ca="1" si="92"/>
        <v/>
      </c>
      <c r="C1155" s="2" t="str">
        <f ca="1">IF(E1154="continue",SUM(B$8:B1155),"")</f>
        <v/>
      </c>
      <c r="D1155" s="1" t="str">
        <f t="shared" ca="1" si="93"/>
        <v/>
      </c>
      <c r="E1155" s="13" t="str">
        <f t="shared" ca="1" si="94"/>
        <v>No ruin</v>
      </c>
      <c r="F1155">
        <f t="shared" ca="1" si="90"/>
        <v>0</v>
      </c>
    </row>
    <row r="1156" spans="1:6">
      <c r="A1156" s="3" t="str">
        <f t="shared" ca="1" si="91"/>
        <v/>
      </c>
      <c r="B1156" s="2" t="str">
        <f t="shared" ca="1" si="92"/>
        <v/>
      </c>
      <c r="C1156" s="2" t="str">
        <f ca="1">IF(E1155="continue",SUM(B$8:B1156),"")</f>
        <v/>
      </c>
      <c r="D1156" s="1" t="str">
        <f t="shared" ca="1" si="93"/>
        <v/>
      </c>
      <c r="E1156" s="13" t="str">
        <f t="shared" ca="1" si="94"/>
        <v>No ruin</v>
      </c>
      <c r="F1156">
        <f t="shared" ca="1" si="90"/>
        <v>0</v>
      </c>
    </row>
    <row r="1157" spans="1:6">
      <c r="A1157" s="3" t="str">
        <f t="shared" ca="1" si="91"/>
        <v/>
      </c>
      <c r="B1157" s="2" t="str">
        <f t="shared" ca="1" si="92"/>
        <v/>
      </c>
      <c r="C1157" s="2" t="str">
        <f ca="1">IF(E1156="continue",SUM(B$8:B1157),"")</f>
        <v/>
      </c>
      <c r="D1157" s="1" t="str">
        <f t="shared" ca="1" si="93"/>
        <v/>
      </c>
      <c r="E1157" s="13" t="str">
        <f t="shared" ca="1" si="94"/>
        <v>No ruin</v>
      </c>
      <c r="F1157">
        <f t="shared" ca="1" si="90"/>
        <v>0</v>
      </c>
    </row>
    <row r="1158" spans="1:6">
      <c r="A1158" s="3" t="str">
        <f t="shared" ca="1" si="91"/>
        <v/>
      </c>
      <c r="B1158" s="2" t="str">
        <f t="shared" ca="1" si="92"/>
        <v/>
      </c>
      <c r="C1158" s="2" t="str">
        <f ca="1">IF(E1157="continue",SUM(B$8:B1158),"")</f>
        <v/>
      </c>
      <c r="D1158" s="1" t="str">
        <f t="shared" ca="1" si="93"/>
        <v/>
      </c>
      <c r="E1158" s="13" t="str">
        <f t="shared" ca="1" si="94"/>
        <v>No ruin</v>
      </c>
      <c r="F1158">
        <f t="shared" ca="1" si="90"/>
        <v>0</v>
      </c>
    </row>
    <row r="1159" spans="1:6">
      <c r="A1159" s="3" t="str">
        <f t="shared" ca="1" si="91"/>
        <v/>
      </c>
      <c r="B1159" s="2" t="str">
        <f t="shared" ca="1" si="92"/>
        <v/>
      </c>
      <c r="C1159" s="2" t="str">
        <f ca="1">IF(E1158="continue",SUM(B$8:B1159),"")</f>
        <v/>
      </c>
      <c r="D1159" s="1" t="str">
        <f t="shared" ca="1" si="93"/>
        <v/>
      </c>
      <c r="E1159" s="13" t="str">
        <f t="shared" ca="1" si="94"/>
        <v>No ruin</v>
      </c>
      <c r="F1159">
        <f t="shared" ca="1" si="90"/>
        <v>0</v>
      </c>
    </row>
    <row r="1160" spans="1:6">
      <c r="A1160" s="3" t="str">
        <f t="shared" ca="1" si="91"/>
        <v/>
      </c>
      <c r="B1160" s="2" t="str">
        <f t="shared" ca="1" si="92"/>
        <v/>
      </c>
      <c r="C1160" s="2" t="str">
        <f ca="1">IF(E1159="continue",SUM(B$8:B1160),"")</f>
        <v/>
      </c>
      <c r="D1160" s="1" t="str">
        <f t="shared" ca="1" si="93"/>
        <v/>
      </c>
      <c r="E1160" s="13" t="str">
        <f t="shared" ca="1" si="94"/>
        <v>No ruin</v>
      </c>
      <c r="F1160">
        <f t="shared" ca="1" si="90"/>
        <v>0</v>
      </c>
    </row>
    <row r="1161" spans="1:6">
      <c r="A1161" s="3" t="str">
        <f t="shared" ca="1" si="91"/>
        <v/>
      </c>
      <c r="B1161" s="2" t="str">
        <f t="shared" ca="1" si="92"/>
        <v/>
      </c>
      <c r="C1161" s="2" t="str">
        <f ca="1">IF(E1160="continue",SUM(B$8:B1161),"")</f>
        <v/>
      </c>
      <c r="D1161" s="1" t="str">
        <f t="shared" ca="1" si="93"/>
        <v/>
      </c>
      <c r="E1161" s="13" t="str">
        <f t="shared" ca="1" si="94"/>
        <v>No ruin</v>
      </c>
      <c r="F1161">
        <f t="shared" ca="1" si="90"/>
        <v>0</v>
      </c>
    </row>
    <row r="1162" spans="1:6">
      <c r="A1162" s="3" t="str">
        <f t="shared" ca="1" si="91"/>
        <v/>
      </c>
      <c r="B1162" s="2" t="str">
        <f t="shared" ca="1" si="92"/>
        <v/>
      </c>
      <c r="C1162" s="2" t="str">
        <f ca="1">IF(E1161="continue",SUM(B$8:B1162),"")</f>
        <v/>
      </c>
      <c r="D1162" s="1" t="str">
        <f t="shared" ca="1" si="93"/>
        <v/>
      </c>
      <c r="E1162" s="13" t="str">
        <f t="shared" ca="1" si="94"/>
        <v>No ruin</v>
      </c>
      <c r="F1162">
        <f t="shared" ref="F1162:F1225" ca="1" si="95">IF(E1162="RUIN",1,0)</f>
        <v>0</v>
      </c>
    </row>
    <row r="1163" spans="1:6">
      <c r="A1163" s="3" t="str">
        <f t="shared" ca="1" si="91"/>
        <v/>
      </c>
      <c r="B1163" s="2" t="str">
        <f t="shared" ca="1" si="92"/>
        <v/>
      </c>
      <c r="C1163" s="2" t="str">
        <f ca="1">IF(E1162="continue",SUM(B$8:B1163),"")</f>
        <v/>
      </c>
      <c r="D1163" s="1" t="str">
        <f t="shared" ca="1" si="93"/>
        <v/>
      </c>
      <c r="E1163" s="13" t="str">
        <f t="shared" ca="1" si="94"/>
        <v>No ruin</v>
      </c>
      <c r="F1163">
        <f t="shared" ca="1" si="95"/>
        <v>0</v>
      </c>
    </row>
    <row r="1164" spans="1:6">
      <c r="A1164" s="3" t="str">
        <f t="shared" ca="1" si="91"/>
        <v/>
      </c>
      <c r="B1164" s="2" t="str">
        <f t="shared" ca="1" si="92"/>
        <v/>
      </c>
      <c r="C1164" s="2" t="str">
        <f ca="1">IF(E1163="continue",SUM(B$8:B1164),"")</f>
        <v/>
      </c>
      <c r="D1164" s="1" t="str">
        <f t="shared" ca="1" si="93"/>
        <v/>
      </c>
      <c r="E1164" s="13" t="str">
        <f t="shared" ca="1" si="94"/>
        <v>No ruin</v>
      </c>
      <c r="F1164">
        <f t="shared" ca="1" si="95"/>
        <v>0</v>
      </c>
    </row>
    <row r="1165" spans="1:6">
      <c r="A1165" s="3" t="str">
        <f t="shared" ca="1" si="91"/>
        <v/>
      </c>
      <c r="B1165" s="2" t="str">
        <f t="shared" ca="1" si="92"/>
        <v/>
      </c>
      <c r="C1165" s="2" t="str">
        <f ca="1">IF(E1164="continue",SUM(B$8:B1165),"")</f>
        <v/>
      </c>
      <c r="D1165" s="1" t="str">
        <f t="shared" ca="1" si="93"/>
        <v/>
      </c>
      <c r="E1165" s="13" t="str">
        <f t="shared" ca="1" si="94"/>
        <v>No ruin</v>
      </c>
      <c r="F1165">
        <f t="shared" ca="1" si="95"/>
        <v>0</v>
      </c>
    </row>
    <row r="1166" spans="1:6">
      <c r="A1166" s="3" t="str">
        <f t="shared" ca="1" si="91"/>
        <v/>
      </c>
      <c r="B1166" s="2" t="str">
        <f t="shared" ca="1" si="92"/>
        <v/>
      </c>
      <c r="C1166" s="2" t="str">
        <f ca="1">IF(E1165="continue",SUM(B$8:B1166),"")</f>
        <v/>
      </c>
      <c r="D1166" s="1" t="str">
        <f t="shared" ca="1" si="93"/>
        <v/>
      </c>
      <c r="E1166" s="13" t="str">
        <f t="shared" ca="1" si="94"/>
        <v>No ruin</v>
      </c>
      <c r="F1166">
        <f t="shared" ca="1" si="95"/>
        <v>0</v>
      </c>
    </row>
    <row r="1167" spans="1:6">
      <c r="A1167" s="3" t="str">
        <f t="shared" ca="1" si="91"/>
        <v/>
      </c>
      <c r="B1167" s="2" t="str">
        <f t="shared" ca="1" si="92"/>
        <v/>
      </c>
      <c r="C1167" s="2" t="str">
        <f ca="1">IF(E1166="continue",SUM(B$8:B1167),"")</f>
        <v/>
      </c>
      <c r="D1167" s="1" t="str">
        <f t="shared" ca="1" si="93"/>
        <v/>
      </c>
      <c r="E1167" s="13" t="str">
        <f t="shared" ca="1" si="94"/>
        <v>No ruin</v>
      </c>
      <c r="F1167">
        <f t="shared" ca="1" si="95"/>
        <v>0</v>
      </c>
    </row>
    <row r="1168" spans="1:6">
      <c r="A1168" s="3" t="str">
        <f t="shared" ca="1" si="91"/>
        <v/>
      </c>
      <c r="B1168" s="2" t="str">
        <f t="shared" ca="1" si="92"/>
        <v/>
      </c>
      <c r="C1168" s="2" t="str">
        <f ca="1">IF(E1167="continue",SUM(B$8:B1168),"")</f>
        <v/>
      </c>
      <c r="D1168" s="1" t="str">
        <f t="shared" ca="1" si="93"/>
        <v/>
      </c>
      <c r="E1168" s="13" t="str">
        <f t="shared" ca="1" si="94"/>
        <v>No ruin</v>
      </c>
      <c r="F1168">
        <f t="shared" ca="1" si="95"/>
        <v>0</v>
      </c>
    </row>
    <row r="1169" spans="1:6">
      <c r="A1169" s="3" t="str">
        <f t="shared" ca="1" si="91"/>
        <v/>
      </c>
      <c r="B1169" s="2" t="str">
        <f t="shared" ca="1" si="92"/>
        <v/>
      </c>
      <c r="C1169" s="2" t="str">
        <f ca="1">IF(E1168="continue",SUM(B$8:B1169),"")</f>
        <v/>
      </c>
      <c r="D1169" s="1" t="str">
        <f t="shared" ca="1" si="93"/>
        <v/>
      </c>
      <c r="E1169" s="13" t="str">
        <f t="shared" ca="1" si="94"/>
        <v>No ruin</v>
      </c>
      <c r="F1169">
        <f t="shared" ca="1" si="95"/>
        <v>0</v>
      </c>
    </row>
    <row r="1170" spans="1:6">
      <c r="A1170" s="3" t="str">
        <f t="shared" ca="1" si="91"/>
        <v/>
      </c>
      <c r="B1170" s="2" t="str">
        <f t="shared" ca="1" si="92"/>
        <v/>
      </c>
      <c r="C1170" s="2" t="str">
        <f ca="1">IF(E1169="continue",SUM(B$8:B1170),"")</f>
        <v/>
      </c>
      <c r="D1170" s="1" t="str">
        <f t="shared" ca="1" si="93"/>
        <v/>
      </c>
      <c r="E1170" s="13" t="str">
        <f t="shared" ca="1" si="94"/>
        <v>No ruin</v>
      </c>
      <c r="F1170">
        <f t="shared" ca="1" si="95"/>
        <v>0</v>
      </c>
    </row>
    <row r="1171" spans="1:6">
      <c r="A1171" s="3" t="str">
        <f t="shared" ca="1" si="91"/>
        <v/>
      </c>
      <c r="B1171" s="2" t="str">
        <f t="shared" ca="1" si="92"/>
        <v/>
      </c>
      <c r="C1171" s="2" t="str">
        <f ca="1">IF(E1170="continue",SUM(B$8:B1171),"")</f>
        <v/>
      </c>
      <c r="D1171" s="1" t="str">
        <f t="shared" ca="1" si="93"/>
        <v/>
      </c>
      <c r="E1171" s="13" t="str">
        <f t="shared" ca="1" si="94"/>
        <v>No ruin</v>
      </c>
      <c r="F1171">
        <f t="shared" ca="1" si="95"/>
        <v>0</v>
      </c>
    </row>
    <row r="1172" spans="1:6">
      <c r="A1172" s="3" t="str">
        <f t="shared" ca="1" si="91"/>
        <v/>
      </c>
      <c r="B1172" s="2" t="str">
        <f t="shared" ca="1" si="92"/>
        <v/>
      </c>
      <c r="C1172" s="2" t="str">
        <f ca="1">IF(E1171="continue",SUM(B$8:B1172),"")</f>
        <v/>
      </c>
      <c r="D1172" s="1" t="str">
        <f t="shared" ca="1" si="93"/>
        <v/>
      </c>
      <c r="E1172" s="13" t="str">
        <f t="shared" ca="1" si="94"/>
        <v>No ruin</v>
      </c>
      <c r="F1172">
        <f t="shared" ca="1" si="95"/>
        <v>0</v>
      </c>
    </row>
    <row r="1173" spans="1:6">
      <c r="A1173" s="3" t="str">
        <f t="shared" ca="1" si="91"/>
        <v/>
      </c>
      <c r="B1173" s="2" t="str">
        <f t="shared" ca="1" si="92"/>
        <v/>
      </c>
      <c r="C1173" s="2" t="str">
        <f ca="1">IF(E1172="continue",SUM(B$8:B1173),"")</f>
        <v/>
      </c>
      <c r="D1173" s="1" t="str">
        <f t="shared" ca="1" si="93"/>
        <v/>
      </c>
      <c r="E1173" s="13" t="str">
        <f t="shared" ca="1" si="94"/>
        <v>No ruin</v>
      </c>
      <c r="F1173">
        <f t="shared" ca="1" si="95"/>
        <v>0</v>
      </c>
    </row>
    <row r="1174" spans="1:6">
      <c r="A1174" s="3" t="str">
        <f t="shared" ca="1" si="91"/>
        <v/>
      </c>
      <c r="B1174" s="2" t="str">
        <f t="shared" ca="1" si="92"/>
        <v/>
      </c>
      <c r="C1174" s="2" t="str">
        <f ca="1">IF(E1173="continue",SUM(B$8:B1174),"")</f>
        <v/>
      </c>
      <c r="D1174" s="1" t="str">
        <f t="shared" ca="1" si="93"/>
        <v/>
      </c>
      <c r="E1174" s="13" t="str">
        <f t="shared" ca="1" si="94"/>
        <v>No ruin</v>
      </c>
      <c r="F1174">
        <f t="shared" ca="1" si="95"/>
        <v>0</v>
      </c>
    </row>
    <row r="1175" spans="1:6">
      <c r="A1175" s="3" t="str">
        <f t="shared" ca="1" si="91"/>
        <v/>
      </c>
      <c r="B1175" s="2" t="str">
        <f t="shared" ca="1" si="92"/>
        <v/>
      </c>
      <c r="C1175" s="2" t="str">
        <f ca="1">IF(E1174="continue",SUM(B$8:B1175),"")</f>
        <v/>
      </c>
      <c r="D1175" s="1" t="str">
        <f t="shared" ca="1" si="93"/>
        <v/>
      </c>
      <c r="E1175" s="13" t="str">
        <f t="shared" ca="1" si="94"/>
        <v>No ruin</v>
      </c>
      <c r="F1175">
        <f t="shared" ca="1" si="95"/>
        <v>0</v>
      </c>
    </row>
    <row r="1176" spans="1:6">
      <c r="A1176" s="3" t="str">
        <f t="shared" ca="1" si="91"/>
        <v/>
      </c>
      <c r="B1176" s="2" t="str">
        <f t="shared" ca="1" si="92"/>
        <v/>
      </c>
      <c r="C1176" s="2" t="str">
        <f ca="1">IF(E1175="continue",SUM(B$8:B1176),"")</f>
        <v/>
      </c>
      <c r="D1176" s="1" t="str">
        <f t="shared" ca="1" si="93"/>
        <v/>
      </c>
      <c r="E1176" s="13" t="str">
        <f t="shared" ca="1" si="94"/>
        <v>No ruin</v>
      </c>
      <c r="F1176">
        <f t="shared" ca="1" si="95"/>
        <v>0</v>
      </c>
    </row>
    <row r="1177" spans="1:6">
      <c r="A1177" s="3" t="str">
        <f t="shared" ca="1" si="91"/>
        <v/>
      </c>
      <c r="B1177" s="2" t="str">
        <f t="shared" ca="1" si="92"/>
        <v/>
      </c>
      <c r="C1177" s="2" t="str">
        <f ca="1">IF(E1176="continue",SUM(B$8:B1177),"")</f>
        <v/>
      </c>
      <c r="D1177" s="1" t="str">
        <f t="shared" ca="1" si="93"/>
        <v/>
      </c>
      <c r="E1177" s="13" t="str">
        <f t="shared" ca="1" si="94"/>
        <v>No ruin</v>
      </c>
      <c r="F1177">
        <f t="shared" ca="1" si="95"/>
        <v>0</v>
      </c>
    </row>
    <row r="1178" spans="1:6">
      <c r="A1178" s="3" t="str">
        <f t="shared" ca="1" si="91"/>
        <v/>
      </c>
      <c r="B1178" s="2" t="str">
        <f t="shared" ca="1" si="92"/>
        <v/>
      </c>
      <c r="C1178" s="2" t="str">
        <f ca="1">IF(E1177="continue",SUM(B$8:B1178),"")</f>
        <v/>
      </c>
      <c r="D1178" s="1" t="str">
        <f t="shared" ca="1" si="93"/>
        <v/>
      </c>
      <c r="E1178" s="13" t="str">
        <f t="shared" ca="1" si="94"/>
        <v>No ruin</v>
      </c>
      <c r="F1178">
        <f t="shared" ca="1" si="95"/>
        <v>0</v>
      </c>
    </row>
    <row r="1179" spans="1:6">
      <c r="A1179" s="3" t="str">
        <f t="shared" ca="1" si="91"/>
        <v/>
      </c>
      <c r="B1179" s="2" t="str">
        <f t="shared" ca="1" si="92"/>
        <v/>
      </c>
      <c r="C1179" s="2" t="str">
        <f ca="1">IF(E1178="continue",SUM(B$8:B1179),"")</f>
        <v/>
      </c>
      <c r="D1179" s="1" t="str">
        <f t="shared" ca="1" si="93"/>
        <v/>
      </c>
      <c r="E1179" s="13" t="str">
        <f t="shared" ca="1" si="94"/>
        <v>No ruin</v>
      </c>
      <c r="F1179">
        <f t="shared" ca="1" si="95"/>
        <v>0</v>
      </c>
    </row>
    <row r="1180" spans="1:6">
      <c r="A1180" s="3" t="str">
        <f t="shared" ref="A1180:A1243" ca="1" si="96">IF(E1179="continue",-LN(1-RAND())*O$3+A1179,"")</f>
        <v/>
      </c>
      <c r="B1180" s="2" t="str">
        <f t="shared" ref="B1180:B1243" ca="1" si="97">IF(E1179="continue",-LN(1-RAND())*M$3,"")</f>
        <v/>
      </c>
      <c r="C1180" s="2" t="str">
        <f ca="1">IF(E1179="continue",SUM(B$8:B1180),"")</f>
        <v/>
      </c>
      <c r="D1180" s="1" t="str">
        <f t="shared" ref="D1180:D1243" ca="1" si="98">IF(E1179="continue",(1+J$1)*(1/O$3)*M$3*A1180,"")</f>
        <v/>
      </c>
      <c r="E1180" s="13" t="str">
        <f t="shared" ref="E1180:E1243" ca="1" si="99">IF(A1180&gt;G$1,"No ruin",IF(AND(A1180&lt;=G$1,C1180&gt;J$4+D1180),"RUIN","continue"))</f>
        <v>No ruin</v>
      </c>
      <c r="F1180">
        <f t="shared" ca="1" si="95"/>
        <v>0</v>
      </c>
    </row>
    <row r="1181" spans="1:6">
      <c r="A1181" s="3" t="str">
        <f t="shared" ca="1" si="96"/>
        <v/>
      </c>
      <c r="B1181" s="2" t="str">
        <f t="shared" ca="1" si="97"/>
        <v/>
      </c>
      <c r="C1181" s="2" t="str">
        <f ca="1">IF(E1180="continue",SUM(B$8:B1181),"")</f>
        <v/>
      </c>
      <c r="D1181" s="1" t="str">
        <f t="shared" ca="1" si="98"/>
        <v/>
      </c>
      <c r="E1181" s="13" t="str">
        <f t="shared" ca="1" si="99"/>
        <v>No ruin</v>
      </c>
      <c r="F1181">
        <f t="shared" ca="1" si="95"/>
        <v>0</v>
      </c>
    </row>
    <row r="1182" spans="1:6">
      <c r="A1182" s="3" t="str">
        <f t="shared" ca="1" si="96"/>
        <v/>
      </c>
      <c r="B1182" s="2" t="str">
        <f t="shared" ca="1" si="97"/>
        <v/>
      </c>
      <c r="C1182" s="2" t="str">
        <f ca="1">IF(E1181="continue",SUM(B$8:B1182),"")</f>
        <v/>
      </c>
      <c r="D1182" s="1" t="str">
        <f t="shared" ca="1" si="98"/>
        <v/>
      </c>
      <c r="E1182" s="13" t="str">
        <f t="shared" ca="1" si="99"/>
        <v>No ruin</v>
      </c>
      <c r="F1182">
        <f t="shared" ca="1" si="95"/>
        <v>0</v>
      </c>
    </row>
    <row r="1183" spans="1:6">
      <c r="A1183" s="3" t="str">
        <f t="shared" ca="1" si="96"/>
        <v/>
      </c>
      <c r="B1183" s="2" t="str">
        <f t="shared" ca="1" si="97"/>
        <v/>
      </c>
      <c r="C1183" s="2" t="str">
        <f ca="1">IF(E1182="continue",SUM(B$8:B1183),"")</f>
        <v/>
      </c>
      <c r="D1183" s="1" t="str">
        <f t="shared" ca="1" si="98"/>
        <v/>
      </c>
      <c r="E1183" s="13" t="str">
        <f t="shared" ca="1" si="99"/>
        <v>No ruin</v>
      </c>
      <c r="F1183">
        <f t="shared" ca="1" si="95"/>
        <v>0</v>
      </c>
    </row>
    <row r="1184" spans="1:6">
      <c r="A1184" s="3" t="str">
        <f t="shared" ca="1" si="96"/>
        <v/>
      </c>
      <c r="B1184" s="2" t="str">
        <f t="shared" ca="1" si="97"/>
        <v/>
      </c>
      <c r="C1184" s="2" t="str">
        <f ca="1">IF(E1183="continue",SUM(B$8:B1184),"")</f>
        <v/>
      </c>
      <c r="D1184" s="1" t="str">
        <f t="shared" ca="1" si="98"/>
        <v/>
      </c>
      <c r="E1184" s="13" t="str">
        <f t="shared" ca="1" si="99"/>
        <v>No ruin</v>
      </c>
      <c r="F1184">
        <f t="shared" ca="1" si="95"/>
        <v>0</v>
      </c>
    </row>
    <row r="1185" spans="1:6">
      <c r="A1185" s="3" t="str">
        <f t="shared" ca="1" si="96"/>
        <v/>
      </c>
      <c r="B1185" s="2" t="str">
        <f t="shared" ca="1" si="97"/>
        <v/>
      </c>
      <c r="C1185" s="2" t="str">
        <f ca="1">IF(E1184="continue",SUM(B$8:B1185),"")</f>
        <v/>
      </c>
      <c r="D1185" s="1" t="str">
        <f t="shared" ca="1" si="98"/>
        <v/>
      </c>
      <c r="E1185" s="13" t="str">
        <f t="shared" ca="1" si="99"/>
        <v>No ruin</v>
      </c>
      <c r="F1185">
        <f t="shared" ca="1" si="95"/>
        <v>0</v>
      </c>
    </row>
    <row r="1186" spans="1:6">
      <c r="A1186" s="3" t="str">
        <f t="shared" ca="1" si="96"/>
        <v/>
      </c>
      <c r="B1186" s="2" t="str">
        <f t="shared" ca="1" si="97"/>
        <v/>
      </c>
      <c r="C1186" s="2" t="str">
        <f ca="1">IF(E1185="continue",SUM(B$8:B1186),"")</f>
        <v/>
      </c>
      <c r="D1186" s="1" t="str">
        <f t="shared" ca="1" si="98"/>
        <v/>
      </c>
      <c r="E1186" s="13" t="str">
        <f t="shared" ca="1" si="99"/>
        <v>No ruin</v>
      </c>
      <c r="F1186">
        <f t="shared" ca="1" si="95"/>
        <v>0</v>
      </c>
    </row>
    <row r="1187" spans="1:6">
      <c r="A1187" s="3" t="str">
        <f t="shared" ca="1" si="96"/>
        <v/>
      </c>
      <c r="B1187" s="2" t="str">
        <f t="shared" ca="1" si="97"/>
        <v/>
      </c>
      <c r="C1187" s="2" t="str">
        <f ca="1">IF(E1186="continue",SUM(B$8:B1187),"")</f>
        <v/>
      </c>
      <c r="D1187" s="1" t="str">
        <f t="shared" ca="1" si="98"/>
        <v/>
      </c>
      <c r="E1187" s="13" t="str">
        <f t="shared" ca="1" si="99"/>
        <v>No ruin</v>
      </c>
      <c r="F1187">
        <f t="shared" ca="1" si="95"/>
        <v>0</v>
      </c>
    </row>
    <row r="1188" spans="1:6">
      <c r="A1188" s="3" t="str">
        <f t="shared" ca="1" si="96"/>
        <v/>
      </c>
      <c r="B1188" s="2" t="str">
        <f t="shared" ca="1" si="97"/>
        <v/>
      </c>
      <c r="C1188" s="2" t="str">
        <f ca="1">IF(E1187="continue",SUM(B$8:B1188),"")</f>
        <v/>
      </c>
      <c r="D1188" s="1" t="str">
        <f t="shared" ca="1" si="98"/>
        <v/>
      </c>
      <c r="E1188" s="13" t="str">
        <f t="shared" ca="1" si="99"/>
        <v>No ruin</v>
      </c>
      <c r="F1188">
        <f t="shared" ca="1" si="95"/>
        <v>0</v>
      </c>
    </row>
    <row r="1189" spans="1:6">
      <c r="A1189" s="3" t="str">
        <f t="shared" ca="1" si="96"/>
        <v/>
      </c>
      <c r="B1189" s="2" t="str">
        <f t="shared" ca="1" si="97"/>
        <v/>
      </c>
      <c r="C1189" s="2" t="str">
        <f ca="1">IF(E1188="continue",SUM(B$8:B1189),"")</f>
        <v/>
      </c>
      <c r="D1189" s="1" t="str">
        <f t="shared" ca="1" si="98"/>
        <v/>
      </c>
      <c r="E1189" s="13" t="str">
        <f t="shared" ca="1" si="99"/>
        <v>No ruin</v>
      </c>
      <c r="F1189">
        <f t="shared" ca="1" si="95"/>
        <v>0</v>
      </c>
    </row>
    <row r="1190" spans="1:6">
      <c r="A1190" s="3" t="str">
        <f t="shared" ca="1" si="96"/>
        <v/>
      </c>
      <c r="B1190" s="2" t="str">
        <f t="shared" ca="1" si="97"/>
        <v/>
      </c>
      <c r="C1190" s="2" t="str">
        <f ca="1">IF(E1189="continue",SUM(B$8:B1190),"")</f>
        <v/>
      </c>
      <c r="D1190" s="1" t="str">
        <f t="shared" ca="1" si="98"/>
        <v/>
      </c>
      <c r="E1190" s="13" t="str">
        <f t="shared" ca="1" si="99"/>
        <v>No ruin</v>
      </c>
      <c r="F1190">
        <f t="shared" ca="1" si="95"/>
        <v>0</v>
      </c>
    </row>
    <row r="1191" spans="1:6">
      <c r="A1191" s="3" t="str">
        <f t="shared" ca="1" si="96"/>
        <v/>
      </c>
      <c r="B1191" s="2" t="str">
        <f t="shared" ca="1" si="97"/>
        <v/>
      </c>
      <c r="C1191" s="2" t="str">
        <f ca="1">IF(E1190="continue",SUM(B$8:B1191),"")</f>
        <v/>
      </c>
      <c r="D1191" s="1" t="str">
        <f t="shared" ca="1" si="98"/>
        <v/>
      </c>
      <c r="E1191" s="13" t="str">
        <f t="shared" ca="1" si="99"/>
        <v>No ruin</v>
      </c>
      <c r="F1191">
        <f t="shared" ca="1" si="95"/>
        <v>0</v>
      </c>
    </row>
    <row r="1192" spans="1:6">
      <c r="A1192" s="3" t="str">
        <f t="shared" ca="1" si="96"/>
        <v/>
      </c>
      <c r="B1192" s="2" t="str">
        <f t="shared" ca="1" si="97"/>
        <v/>
      </c>
      <c r="C1192" s="2" t="str">
        <f ca="1">IF(E1191="continue",SUM(B$8:B1192),"")</f>
        <v/>
      </c>
      <c r="D1192" s="1" t="str">
        <f t="shared" ca="1" si="98"/>
        <v/>
      </c>
      <c r="E1192" s="13" t="str">
        <f t="shared" ca="1" si="99"/>
        <v>No ruin</v>
      </c>
      <c r="F1192">
        <f t="shared" ca="1" si="95"/>
        <v>0</v>
      </c>
    </row>
    <row r="1193" spans="1:6">
      <c r="A1193" s="3" t="str">
        <f t="shared" ca="1" si="96"/>
        <v/>
      </c>
      <c r="B1193" s="2" t="str">
        <f t="shared" ca="1" si="97"/>
        <v/>
      </c>
      <c r="C1193" s="2" t="str">
        <f ca="1">IF(E1192="continue",SUM(B$8:B1193),"")</f>
        <v/>
      </c>
      <c r="D1193" s="1" t="str">
        <f t="shared" ca="1" si="98"/>
        <v/>
      </c>
      <c r="E1193" s="13" t="str">
        <f t="shared" ca="1" si="99"/>
        <v>No ruin</v>
      </c>
      <c r="F1193">
        <f t="shared" ca="1" si="95"/>
        <v>0</v>
      </c>
    </row>
    <row r="1194" spans="1:6">
      <c r="A1194" s="3" t="str">
        <f t="shared" ca="1" si="96"/>
        <v/>
      </c>
      <c r="B1194" s="2" t="str">
        <f t="shared" ca="1" si="97"/>
        <v/>
      </c>
      <c r="C1194" s="2" t="str">
        <f ca="1">IF(E1193="continue",SUM(B$8:B1194),"")</f>
        <v/>
      </c>
      <c r="D1194" s="1" t="str">
        <f t="shared" ca="1" si="98"/>
        <v/>
      </c>
      <c r="E1194" s="13" t="str">
        <f t="shared" ca="1" si="99"/>
        <v>No ruin</v>
      </c>
      <c r="F1194">
        <f t="shared" ca="1" si="95"/>
        <v>0</v>
      </c>
    </row>
    <row r="1195" spans="1:6">
      <c r="A1195" s="3" t="str">
        <f t="shared" ca="1" si="96"/>
        <v/>
      </c>
      <c r="B1195" s="2" t="str">
        <f t="shared" ca="1" si="97"/>
        <v/>
      </c>
      <c r="C1195" s="2" t="str">
        <f ca="1">IF(E1194="continue",SUM(B$8:B1195),"")</f>
        <v/>
      </c>
      <c r="D1195" s="1" t="str">
        <f t="shared" ca="1" si="98"/>
        <v/>
      </c>
      <c r="E1195" s="13" t="str">
        <f t="shared" ca="1" si="99"/>
        <v>No ruin</v>
      </c>
      <c r="F1195">
        <f t="shared" ca="1" si="95"/>
        <v>0</v>
      </c>
    </row>
    <row r="1196" spans="1:6">
      <c r="A1196" s="3" t="str">
        <f t="shared" ca="1" si="96"/>
        <v/>
      </c>
      <c r="B1196" s="2" t="str">
        <f t="shared" ca="1" si="97"/>
        <v/>
      </c>
      <c r="C1196" s="2" t="str">
        <f ca="1">IF(E1195="continue",SUM(B$8:B1196),"")</f>
        <v/>
      </c>
      <c r="D1196" s="1" t="str">
        <f t="shared" ca="1" si="98"/>
        <v/>
      </c>
      <c r="E1196" s="13" t="str">
        <f t="shared" ca="1" si="99"/>
        <v>No ruin</v>
      </c>
      <c r="F1196">
        <f t="shared" ca="1" si="95"/>
        <v>0</v>
      </c>
    </row>
    <row r="1197" spans="1:6">
      <c r="A1197" s="3" t="str">
        <f t="shared" ca="1" si="96"/>
        <v/>
      </c>
      <c r="B1197" s="2" t="str">
        <f t="shared" ca="1" si="97"/>
        <v/>
      </c>
      <c r="C1197" s="2" t="str">
        <f ca="1">IF(E1196="continue",SUM(B$8:B1197),"")</f>
        <v/>
      </c>
      <c r="D1197" s="1" t="str">
        <f t="shared" ca="1" si="98"/>
        <v/>
      </c>
      <c r="E1197" s="13" t="str">
        <f t="shared" ca="1" si="99"/>
        <v>No ruin</v>
      </c>
      <c r="F1197">
        <f t="shared" ca="1" si="95"/>
        <v>0</v>
      </c>
    </row>
    <row r="1198" spans="1:6">
      <c r="A1198" s="3" t="str">
        <f t="shared" ca="1" si="96"/>
        <v/>
      </c>
      <c r="B1198" s="2" t="str">
        <f t="shared" ca="1" si="97"/>
        <v/>
      </c>
      <c r="C1198" s="2" t="str">
        <f ca="1">IF(E1197="continue",SUM(B$8:B1198),"")</f>
        <v/>
      </c>
      <c r="D1198" s="1" t="str">
        <f t="shared" ca="1" si="98"/>
        <v/>
      </c>
      <c r="E1198" s="13" t="str">
        <f t="shared" ca="1" si="99"/>
        <v>No ruin</v>
      </c>
      <c r="F1198">
        <f t="shared" ca="1" si="95"/>
        <v>0</v>
      </c>
    </row>
    <row r="1199" spans="1:6">
      <c r="A1199" s="3" t="str">
        <f t="shared" ca="1" si="96"/>
        <v/>
      </c>
      <c r="B1199" s="2" t="str">
        <f t="shared" ca="1" si="97"/>
        <v/>
      </c>
      <c r="C1199" s="2" t="str">
        <f ca="1">IF(E1198="continue",SUM(B$8:B1199),"")</f>
        <v/>
      </c>
      <c r="D1199" s="1" t="str">
        <f t="shared" ca="1" si="98"/>
        <v/>
      </c>
      <c r="E1199" s="13" t="str">
        <f t="shared" ca="1" si="99"/>
        <v>No ruin</v>
      </c>
      <c r="F1199">
        <f t="shared" ca="1" si="95"/>
        <v>0</v>
      </c>
    </row>
    <row r="1200" spans="1:6">
      <c r="A1200" s="3" t="str">
        <f t="shared" ca="1" si="96"/>
        <v/>
      </c>
      <c r="B1200" s="2" t="str">
        <f t="shared" ca="1" si="97"/>
        <v/>
      </c>
      <c r="C1200" s="2" t="str">
        <f ca="1">IF(E1199="continue",SUM(B$8:B1200),"")</f>
        <v/>
      </c>
      <c r="D1200" s="1" t="str">
        <f t="shared" ca="1" si="98"/>
        <v/>
      </c>
      <c r="E1200" s="13" t="str">
        <f t="shared" ca="1" si="99"/>
        <v>No ruin</v>
      </c>
      <c r="F1200">
        <f t="shared" ca="1" si="95"/>
        <v>0</v>
      </c>
    </row>
    <row r="1201" spans="1:6">
      <c r="A1201" s="3" t="str">
        <f t="shared" ca="1" si="96"/>
        <v/>
      </c>
      <c r="B1201" s="2" t="str">
        <f t="shared" ca="1" si="97"/>
        <v/>
      </c>
      <c r="C1201" s="2" t="str">
        <f ca="1">IF(E1200="continue",SUM(B$8:B1201),"")</f>
        <v/>
      </c>
      <c r="D1201" s="1" t="str">
        <f t="shared" ca="1" si="98"/>
        <v/>
      </c>
      <c r="E1201" s="13" t="str">
        <f t="shared" ca="1" si="99"/>
        <v>No ruin</v>
      </c>
      <c r="F1201">
        <f t="shared" ca="1" si="95"/>
        <v>0</v>
      </c>
    </row>
    <row r="1202" spans="1:6">
      <c r="A1202" s="3" t="str">
        <f t="shared" ca="1" si="96"/>
        <v/>
      </c>
      <c r="B1202" s="2" t="str">
        <f t="shared" ca="1" si="97"/>
        <v/>
      </c>
      <c r="C1202" s="2" t="str">
        <f ca="1">IF(E1201="continue",SUM(B$8:B1202),"")</f>
        <v/>
      </c>
      <c r="D1202" s="1" t="str">
        <f t="shared" ca="1" si="98"/>
        <v/>
      </c>
      <c r="E1202" s="13" t="str">
        <f t="shared" ca="1" si="99"/>
        <v>No ruin</v>
      </c>
      <c r="F1202">
        <f t="shared" ca="1" si="95"/>
        <v>0</v>
      </c>
    </row>
    <row r="1203" spans="1:6">
      <c r="A1203" s="3" t="str">
        <f t="shared" ca="1" si="96"/>
        <v/>
      </c>
      <c r="B1203" s="2" t="str">
        <f t="shared" ca="1" si="97"/>
        <v/>
      </c>
      <c r="C1203" s="2" t="str">
        <f ca="1">IF(E1202="continue",SUM(B$8:B1203),"")</f>
        <v/>
      </c>
      <c r="D1203" s="1" t="str">
        <f t="shared" ca="1" si="98"/>
        <v/>
      </c>
      <c r="E1203" s="13" t="str">
        <f t="shared" ca="1" si="99"/>
        <v>No ruin</v>
      </c>
      <c r="F1203">
        <f t="shared" ca="1" si="95"/>
        <v>0</v>
      </c>
    </row>
    <row r="1204" spans="1:6">
      <c r="A1204" s="3" t="str">
        <f t="shared" ca="1" si="96"/>
        <v/>
      </c>
      <c r="B1204" s="2" t="str">
        <f t="shared" ca="1" si="97"/>
        <v/>
      </c>
      <c r="C1204" s="2" t="str">
        <f ca="1">IF(E1203="continue",SUM(B$8:B1204),"")</f>
        <v/>
      </c>
      <c r="D1204" s="1" t="str">
        <f t="shared" ca="1" si="98"/>
        <v/>
      </c>
      <c r="E1204" s="13" t="str">
        <f t="shared" ca="1" si="99"/>
        <v>No ruin</v>
      </c>
      <c r="F1204">
        <f t="shared" ca="1" si="95"/>
        <v>0</v>
      </c>
    </row>
    <row r="1205" spans="1:6">
      <c r="A1205" s="3" t="str">
        <f t="shared" ca="1" si="96"/>
        <v/>
      </c>
      <c r="B1205" s="2" t="str">
        <f t="shared" ca="1" si="97"/>
        <v/>
      </c>
      <c r="C1205" s="2" t="str">
        <f ca="1">IF(E1204="continue",SUM(B$8:B1205),"")</f>
        <v/>
      </c>
      <c r="D1205" s="1" t="str">
        <f t="shared" ca="1" si="98"/>
        <v/>
      </c>
      <c r="E1205" s="13" t="str">
        <f t="shared" ca="1" si="99"/>
        <v>No ruin</v>
      </c>
      <c r="F1205">
        <f t="shared" ca="1" si="95"/>
        <v>0</v>
      </c>
    </row>
    <row r="1206" spans="1:6">
      <c r="A1206" s="3" t="str">
        <f t="shared" ca="1" si="96"/>
        <v/>
      </c>
      <c r="B1206" s="2" t="str">
        <f t="shared" ca="1" si="97"/>
        <v/>
      </c>
      <c r="C1206" s="2" t="str">
        <f ca="1">IF(E1205="continue",SUM(B$8:B1206),"")</f>
        <v/>
      </c>
      <c r="D1206" s="1" t="str">
        <f t="shared" ca="1" si="98"/>
        <v/>
      </c>
      <c r="E1206" s="13" t="str">
        <f t="shared" ca="1" si="99"/>
        <v>No ruin</v>
      </c>
      <c r="F1206">
        <f t="shared" ca="1" si="95"/>
        <v>0</v>
      </c>
    </row>
    <row r="1207" spans="1:6">
      <c r="A1207" s="3" t="str">
        <f t="shared" ca="1" si="96"/>
        <v/>
      </c>
      <c r="B1207" s="2" t="str">
        <f t="shared" ca="1" si="97"/>
        <v/>
      </c>
      <c r="C1207" s="2" t="str">
        <f ca="1">IF(E1206="continue",SUM(B$8:B1207),"")</f>
        <v/>
      </c>
      <c r="D1207" s="1" t="str">
        <f t="shared" ca="1" si="98"/>
        <v/>
      </c>
      <c r="E1207" s="13" t="str">
        <f t="shared" ca="1" si="99"/>
        <v>No ruin</v>
      </c>
      <c r="F1207">
        <f t="shared" ca="1" si="95"/>
        <v>0</v>
      </c>
    </row>
    <row r="1208" spans="1:6">
      <c r="A1208" s="3" t="str">
        <f t="shared" ca="1" si="96"/>
        <v/>
      </c>
      <c r="B1208" s="2" t="str">
        <f t="shared" ca="1" si="97"/>
        <v/>
      </c>
      <c r="C1208" s="2" t="str">
        <f ca="1">IF(E1207="continue",SUM(B$8:B1208),"")</f>
        <v/>
      </c>
      <c r="D1208" s="1" t="str">
        <f t="shared" ca="1" si="98"/>
        <v/>
      </c>
      <c r="E1208" s="13" t="str">
        <f t="shared" ca="1" si="99"/>
        <v>No ruin</v>
      </c>
      <c r="F1208">
        <f t="shared" ca="1" si="95"/>
        <v>0</v>
      </c>
    </row>
    <row r="1209" spans="1:6">
      <c r="A1209" s="3" t="str">
        <f t="shared" ca="1" si="96"/>
        <v/>
      </c>
      <c r="B1209" s="2" t="str">
        <f t="shared" ca="1" si="97"/>
        <v/>
      </c>
      <c r="C1209" s="2" t="str">
        <f ca="1">IF(E1208="continue",SUM(B$8:B1209),"")</f>
        <v/>
      </c>
      <c r="D1209" s="1" t="str">
        <f t="shared" ca="1" si="98"/>
        <v/>
      </c>
      <c r="E1209" s="13" t="str">
        <f t="shared" ca="1" si="99"/>
        <v>No ruin</v>
      </c>
      <c r="F1209">
        <f t="shared" ca="1" si="95"/>
        <v>0</v>
      </c>
    </row>
    <row r="1210" spans="1:6">
      <c r="A1210" s="3" t="str">
        <f t="shared" ca="1" si="96"/>
        <v/>
      </c>
      <c r="B1210" s="2" t="str">
        <f t="shared" ca="1" si="97"/>
        <v/>
      </c>
      <c r="C1210" s="2" t="str">
        <f ca="1">IF(E1209="continue",SUM(B$8:B1210),"")</f>
        <v/>
      </c>
      <c r="D1210" s="1" t="str">
        <f t="shared" ca="1" si="98"/>
        <v/>
      </c>
      <c r="E1210" s="13" t="str">
        <f t="shared" ca="1" si="99"/>
        <v>No ruin</v>
      </c>
      <c r="F1210">
        <f t="shared" ca="1" si="95"/>
        <v>0</v>
      </c>
    </row>
    <row r="1211" spans="1:6">
      <c r="A1211" s="3" t="str">
        <f t="shared" ca="1" si="96"/>
        <v/>
      </c>
      <c r="B1211" s="2" t="str">
        <f t="shared" ca="1" si="97"/>
        <v/>
      </c>
      <c r="C1211" s="2" t="str">
        <f ca="1">IF(E1210="continue",SUM(B$8:B1211),"")</f>
        <v/>
      </c>
      <c r="D1211" s="1" t="str">
        <f t="shared" ca="1" si="98"/>
        <v/>
      </c>
      <c r="E1211" s="13" t="str">
        <f t="shared" ca="1" si="99"/>
        <v>No ruin</v>
      </c>
      <c r="F1211">
        <f t="shared" ca="1" si="95"/>
        <v>0</v>
      </c>
    </row>
    <row r="1212" spans="1:6">
      <c r="A1212" s="3" t="str">
        <f t="shared" ca="1" si="96"/>
        <v/>
      </c>
      <c r="B1212" s="2" t="str">
        <f t="shared" ca="1" si="97"/>
        <v/>
      </c>
      <c r="C1212" s="2" t="str">
        <f ca="1">IF(E1211="continue",SUM(B$8:B1212),"")</f>
        <v/>
      </c>
      <c r="D1212" s="1" t="str">
        <f t="shared" ca="1" si="98"/>
        <v/>
      </c>
      <c r="E1212" s="13" t="str">
        <f t="shared" ca="1" si="99"/>
        <v>No ruin</v>
      </c>
      <c r="F1212">
        <f t="shared" ca="1" si="95"/>
        <v>0</v>
      </c>
    </row>
    <row r="1213" spans="1:6">
      <c r="A1213" s="3" t="str">
        <f t="shared" ca="1" si="96"/>
        <v/>
      </c>
      <c r="B1213" s="2" t="str">
        <f t="shared" ca="1" si="97"/>
        <v/>
      </c>
      <c r="C1213" s="2" t="str">
        <f ca="1">IF(E1212="continue",SUM(B$8:B1213),"")</f>
        <v/>
      </c>
      <c r="D1213" s="1" t="str">
        <f t="shared" ca="1" si="98"/>
        <v/>
      </c>
      <c r="E1213" s="13" t="str">
        <f t="shared" ca="1" si="99"/>
        <v>No ruin</v>
      </c>
      <c r="F1213">
        <f t="shared" ca="1" si="95"/>
        <v>0</v>
      </c>
    </row>
    <row r="1214" spans="1:6">
      <c r="A1214" s="3" t="str">
        <f t="shared" ca="1" si="96"/>
        <v/>
      </c>
      <c r="B1214" s="2" t="str">
        <f t="shared" ca="1" si="97"/>
        <v/>
      </c>
      <c r="C1214" s="2" t="str">
        <f ca="1">IF(E1213="continue",SUM(B$8:B1214),"")</f>
        <v/>
      </c>
      <c r="D1214" s="1" t="str">
        <f t="shared" ca="1" si="98"/>
        <v/>
      </c>
      <c r="E1214" s="13" t="str">
        <f t="shared" ca="1" si="99"/>
        <v>No ruin</v>
      </c>
      <c r="F1214">
        <f t="shared" ca="1" si="95"/>
        <v>0</v>
      </c>
    </row>
    <row r="1215" spans="1:6">
      <c r="A1215" s="3" t="str">
        <f t="shared" ca="1" si="96"/>
        <v/>
      </c>
      <c r="B1215" s="2" t="str">
        <f t="shared" ca="1" si="97"/>
        <v/>
      </c>
      <c r="C1215" s="2" t="str">
        <f ca="1">IF(E1214="continue",SUM(B$8:B1215),"")</f>
        <v/>
      </c>
      <c r="D1215" s="1" t="str">
        <f t="shared" ca="1" si="98"/>
        <v/>
      </c>
      <c r="E1215" s="13" t="str">
        <f t="shared" ca="1" si="99"/>
        <v>No ruin</v>
      </c>
      <c r="F1215">
        <f t="shared" ca="1" si="95"/>
        <v>0</v>
      </c>
    </row>
    <row r="1216" spans="1:6">
      <c r="A1216" s="3" t="str">
        <f t="shared" ca="1" si="96"/>
        <v/>
      </c>
      <c r="B1216" s="2" t="str">
        <f t="shared" ca="1" si="97"/>
        <v/>
      </c>
      <c r="C1216" s="2" t="str">
        <f ca="1">IF(E1215="continue",SUM(B$8:B1216),"")</f>
        <v/>
      </c>
      <c r="D1216" s="1" t="str">
        <f t="shared" ca="1" si="98"/>
        <v/>
      </c>
      <c r="E1216" s="13" t="str">
        <f t="shared" ca="1" si="99"/>
        <v>No ruin</v>
      </c>
      <c r="F1216">
        <f t="shared" ca="1" si="95"/>
        <v>0</v>
      </c>
    </row>
    <row r="1217" spans="1:6">
      <c r="A1217" s="3" t="str">
        <f t="shared" ca="1" si="96"/>
        <v/>
      </c>
      <c r="B1217" s="2" t="str">
        <f t="shared" ca="1" si="97"/>
        <v/>
      </c>
      <c r="C1217" s="2" t="str">
        <f ca="1">IF(E1216="continue",SUM(B$8:B1217),"")</f>
        <v/>
      </c>
      <c r="D1217" s="1" t="str">
        <f t="shared" ca="1" si="98"/>
        <v/>
      </c>
      <c r="E1217" s="13" t="str">
        <f t="shared" ca="1" si="99"/>
        <v>No ruin</v>
      </c>
      <c r="F1217">
        <f t="shared" ca="1" si="95"/>
        <v>0</v>
      </c>
    </row>
    <row r="1218" spans="1:6">
      <c r="A1218" s="3" t="str">
        <f t="shared" ca="1" si="96"/>
        <v/>
      </c>
      <c r="B1218" s="2" t="str">
        <f t="shared" ca="1" si="97"/>
        <v/>
      </c>
      <c r="C1218" s="2" t="str">
        <f ca="1">IF(E1217="continue",SUM(B$8:B1218),"")</f>
        <v/>
      </c>
      <c r="D1218" s="1" t="str">
        <f t="shared" ca="1" si="98"/>
        <v/>
      </c>
      <c r="E1218" s="13" t="str">
        <f t="shared" ca="1" si="99"/>
        <v>No ruin</v>
      </c>
      <c r="F1218">
        <f t="shared" ca="1" si="95"/>
        <v>0</v>
      </c>
    </row>
    <row r="1219" spans="1:6">
      <c r="A1219" s="3" t="str">
        <f t="shared" ca="1" si="96"/>
        <v/>
      </c>
      <c r="B1219" s="2" t="str">
        <f t="shared" ca="1" si="97"/>
        <v/>
      </c>
      <c r="C1219" s="2" t="str">
        <f ca="1">IF(E1218="continue",SUM(B$8:B1219),"")</f>
        <v/>
      </c>
      <c r="D1219" s="1" t="str">
        <f t="shared" ca="1" si="98"/>
        <v/>
      </c>
      <c r="E1219" s="13" t="str">
        <f t="shared" ca="1" si="99"/>
        <v>No ruin</v>
      </c>
      <c r="F1219">
        <f t="shared" ca="1" si="95"/>
        <v>0</v>
      </c>
    </row>
    <row r="1220" spans="1:6">
      <c r="A1220" s="3" t="str">
        <f t="shared" ca="1" si="96"/>
        <v/>
      </c>
      <c r="B1220" s="2" t="str">
        <f t="shared" ca="1" si="97"/>
        <v/>
      </c>
      <c r="C1220" s="2" t="str">
        <f ca="1">IF(E1219="continue",SUM(B$8:B1220),"")</f>
        <v/>
      </c>
      <c r="D1220" s="1" t="str">
        <f t="shared" ca="1" si="98"/>
        <v/>
      </c>
      <c r="E1220" s="13" t="str">
        <f t="shared" ca="1" si="99"/>
        <v>No ruin</v>
      </c>
      <c r="F1220">
        <f t="shared" ca="1" si="95"/>
        <v>0</v>
      </c>
    </row>
    <row r="1221" spans="1:6">
      <c r="A1221" s="3" t="str">
        <f t="shared" ca="1" si="96"/>
        <v/>
      </c>
      <c r="B1221" s="2" t="str">
        <f t="shared" ca="1" si="97"/>
        <v/>
      </c>
      <c r="C1221" s="2" t="str">
        <f ca="1">IF(E1220="continue",SUM(B$8:B1221),"")</f>
        <v/>
      </c>
      <c r="D1221" s="1" t="str">
        <f t="shared" ca="1" si="98"/>
        <v/>
      </c>
      <c r="E1221" s="13" t="str">
        <f t="shared" ca="1" si="99"/>
        <v>No ruin</v>
      </c>
      <c r="F1221">
        <f t="shared" ca="1" si="95"/>
        <v>0</v>
      </c>
    </row>
    <row r="1222" spans="1:6">
      <c r="A1222" s="3" t="str">
        <f t="shared" ca="1" si="96"/>
        <v/>
      </c>
      <c r="B1222" s="2" t="str">
        <f t="shared" ca="1" si="97"/>
        <v/>
      </c>
      <c r="C1222" s="2" t="str">
        <f ca="1">IF(E1221="continue",SUM(B$8:B1222),"")</f>
        <v/>
      </c>
      <c r="D1222" s="1" t="str">
        <f t="shared" ca="1" si="98"/>
        <v/>
      </c>
      <c r="E1222" s="13" t="str">
        <f t="shared" ca="1" si="99"/>
        <v>No ruin</v>
      </c>
      <c r="F1222">
        <f t="shared" ca="1" si="95"/>
        <v>0</v>
      </c>
    </row>
    <row r="1223" spans="1:6">
      <c r="A1223" s="3" t="str">
        <f t="shared" ca="1" si="96"/>
        <v/>
      </c>
      <c r="B1223" s="2" t="str">
        <f t="shared" ca="1" si="97"/>
        <v/>
      </c>
      <c r="C1223" s="2" t="str">
        <f ca="1">IF(E1222="continue",SUM(B$8:B1223),"")</f>
        <v/>
      </c>
      <c r="D1223" s="1" t="str">
        <f t="shared" ca="1" si="98"/>
        <v/>
      </c>
      <c r="E1223" s="13" t="str">
        <f t="shared" ca="1" si="99"/>
        <v>No ruin</v>
      </c>
      <c r="F1223">
        <f t="shared" ca="1" si="95"/>
        <v>0</v>
      </c>
    </row>
    <row r="1224" spans="1:6">
      <c r="A1224" s="3" t="str">
        <f t="shared" ca="1" si="96"/>
        <v/>
      </c>
      <c r="B1224" s="2" t="str">
        <f t="shared" ca="1" si="97"/>
        <v/>
      </c>
      <c r="C1224" s="2" t="str">
        <f ca="1">IF(E1223="continue",SUM(B$8:B1224),"")</f>
        <v/>
      </c>
      <c r="D1224" s="1" t="str">
        <f t="shared" ca="1" si="98"/>
        <v/>
      </c>
      <c r="E1224" s="13" t="str">
        <f t="shared" ca="1" si="99"/>
        <v>No ruin</v>
      </c>
      <c r="F1224">
        <f t="shared" ca="1" si="95"/>
        <v>0</v>
      </c>
    </row>
    <row r="1225" spans="1:6">
      <c r="A1225" s="3" t="str">
        <f t="shared" ca="1" si="96"/>
        <v/>
      </c>
      <c r="B1225" s="2" t="str">
        <f t="shared" ca="1" si="97"/>
        <v/>
      </c>
      <c r="C1225" s="2" t="str">
        <f ca="1">IF(E1224="continue",SUM(B$8:B1225),"")</f>
        <v/>
      </c>
      <c r="D1225" s="1" t="str">
        <f t="shared" ca="1" si="98"/>
        <v/>
      </c>
      <c r="E1225" s="13" t="str">
        <f t="shared" ca="1" si="99"/>
        <v>No ruin</v>
      </c>
      <c r="F1225">
        <f t="shared" ca="1" si="95"/>
        <v>0</v>
      </c>
    </row>
    <row r="1226" spans="1:6">
      <c r="A1226" s="3" t="str">
        <f t="shared" ca="1" si="96"/>
        <v/>
      </c>
      <c r="B1226" s="2" t="str">
        <f t="shared" ca="1" si="97"/>
        <v/>
      </c>
      <c r="C1226" s="2" t="str">
        <f ca="1">IF(E1225="continue",SUM(B$8:B1226),"")</f>
        <v/>
      </c>
      <c r="D1226" s="1" t="str">
        <f t="shared" ca="1" si="98"/>
        <v/>
      </c>
      <c r="E1226" s="13" t="str">
        <f t="shared" ca="1" si="99"/>
        <v>No ruin</v>
      </c>
      <c r="F1226">
        <f t="shared" ref="F1226:F1289" ca="1" si="100">IF(E1226="RUIN",1,0)</f>
        <v>0</v>
      </c>
    </row>
    <row r="1227" spans="1:6">
      <c r="A1227" s="3" t="str">
        <f t="shared" ca="1" si="96"/>
        <v/>
      </c>
      <c r="B1227" s="2" t="str">
        <f t="shared" ca="1" si="97"/>
        <v/>
      </c>
      <c r="C1227" s="2" t="str">
        <f ca="1">IF(E1226="continue",SUM(B$8:B1227),"")</f>
        <v/>
      </c>
      <c r="D1227" s="1" t="str">
        <f t="shared" ca="1" si="98"/>
        <v/>
      </c>
      <c r="E1227" s="13" t="str">
        <f t="shared" ca="1" si="99"/>
        <v>No ruin</v>
      </c>
      <c r="F1227">
        <f t="shared" ca="1" si="100"/>
        <v>0</v>
      </c>
    </row>
    <row r="1228" spans="1:6">
      <c r="A1228" s="3" t="str">
        <f t="shared" ca="1" si="96"/>
        <v/>
      </c>
      <c r="B1228" s="2" t="str">
        <f t="shared" ca="1" si="97"/>
        <v/>
      </c>
      <c r="C1228" s="2" t="str">
        <f ca="1">IF(E1227="continue",SUM(B$8:B1228),"")</f>
        <v/>
      </c>
      <c r="D1228" s="1" t="str">
        <f t="shared" ca="1" si="98"/>
        <v/>
      </c>
      <c r="E1228" s="13" t="str">
        <f t="shared" ca="1" si="99"/>
        <v>No ruin</v>
      </c>
      <c r="F1228">
        <f t="shared" ca="1" si="100"/>
        <v>0</v>
      </c>
    </row>
    <row r="1229" spans="1:6">
      <c r="A1229" s="3" t="str">
        <f t="shared" ca="1" si="96"/>
        <v/>
      </c>
      <c r="B1229" s="2" t="str">
        <f t="shared" ca="1" si="97"/>
        <v/>
      </c>
      <c r="C1229" s="2" t="str">
        <f ca="1">IF(E1228="continue",SUM(B$8:B1229),"")</f>
        <v/>
      </c>
      <c r="D1229" s="1" t="str">
        <f t="shared" ca="1" si="98"/>
        <v/>
      </c>
      <c r="E1229" s="13" t="str">
        <f t="shared" ca="1" si="99"/>
        <v>No ruin</v>
      </c>
      <c r="F1229">
        <f t="shared" ca="1" si="100"/>
        <v>0</v>
      </c>
    </row>
    <row r="1230" spans="1:6">
      <c r="A1230" s="3" t="str">
        <f t="shared" ca="1" si="96"/>
        <v/>
      </c>
      <c r="B1230" s="2" t="str">
        <f t="shared" ca="1" si="97"/>
        <v/>
      </c>
      <c r="C1230" s="2" t="str">
        <f ca="1">IF(E1229="continue",SUM(B$8:B1230),"")</f>
        <v/>
      </c>
      <c r="D1230" s="1" t="str">
        <f t="shared" ca="1" si="98"/>
        <v/>
      </c>
      <c r="E1230" s="13" t="str">
        <f t="shared" ca="1" si="99"/>
        <v>No ruin</v>
      </c>
      <c r="F1230">
        <f t="shared" ca="1" si="100"/>
        <v>0</v>
      </c>
    </row>
    <row r="1231" spans="1:6">
      <c r="A1231" s="3" t="str">
        <f t="shared" ca="1" si="96"/>
        <v/>
      </c>
      <c r="B1231" s="2" t="str">
        <f t="shared" ca="1" si="97"/>
        <v/>
      </c>
      <c r="C1231" s="2" t="str">
        <f ca="1">IF(E1230="continue",SUM(B$8:B1231),"")</f>
        <v/>
      </c>
      <c r="D1231" s="1" t="str">
        <f t="shared" ca="1" si="98"/>
        <v/>
      </c>
      <c r="E1231" s="13" t="str">
        <f t="shared" ca="1" si="99"/>
        <v>No ruin</v>
      </c>
      <c r="F1231">
        <f t="shared" ca="1" si="100"/>
        <v>0</v>
      </c>
    </row>
    <row r="1232" spans="1:6">
      <c r="A1232" s="3" t="str">
        <f t="shared" ca="1" si="96"/>
        <v/>
      </c>
      <c r="B1232" s="2" t="str">
        <f t="shared" ca="1" si="97"/>
        <v/>
      </c>
      <c r="C1232" s="2" t="str">
        <f ca="1">IF(E1231="continue",SUM(B$8:B1232),"")</f>
        <v/>
      </c>
      <c r="D1232" s="1" t="str">
        <f t="shared" ca="1" si="98"/>
        <v/>
      </c>
      <c r="E1232" s="13" t="str">
        <f t="shared" ca="1" si="99"/>
        <v>No ruin</v>
      </c>
      <c r="F1232">
        <f t="shared" ca="1" si="100"/>
        <v>0</v>
      </c>
    </row>
    <row r="1233" spans="1:6">
      <c r="A1233" s="3" t="str">
        <f t="shared" ca="1" si="96"/>
        <v/>
      </c>
      <c r="B1233" s="2" t="str">
        <f t="shared" ca="1" si="97"/>
        <v/>
      </c>
      <c r="C1233" s="2" t="str">
        <f ca="1">IF(E1232="continue",SUM(B$8:B1233),"")</f>
        <v/>
      </c>
      <c r="D1233" s="1" t="str">
        <f t="shared" ca="1" si="98"/>
        <v/>
      </c>
      <c r="E1233" s="13" t="str">
        <f t="shared" ca="1" si="99"/>
        <v>No ruin</v>
      </c>
      <c r="F1233">
        <f t="shared" ca="1" si="100"/>
        <v>0</v>
      </c>
    </row>
    <row r="1234" spans="1:6">
      <c r="A1234" s="3" t="str">
        <f t="shared" ca="1" si="96"/>
        <v/>
      </c>
      <c r="B1234" s="2" t="str">
        <f t="shared" ca="1" si="97"/>
        <v/>
      </c>
      <c r="C1234" s="2" t="str">
        <f ca="1">IF(E1233="continue",SUM(B$8:B1234),"")</f>
        <v/>
      </c>
      <c r="D1234" s="1" t="str">
        <f t="shared" ca="1" si="98"/>
        <v/>
      </c>
      <c r="E1234" s="13" t="str">
        <f t="shared" ca="1" si="99"/>
        <v>No ruin</v>
      </c>
      <c r="F1234">
        <f t="shared" ca="1" si="100"/>
        <v>0</v>
      </c>
    </row>
    <row r="1235" spans="1:6">
      <c r="A1235" s="3" t="str">
        <f t="shared" ca="1" si="96"/>
        <v/>
      </c>
      <c r="B1235" s="2" t="str">
        <f t="shared" ca="1" si="97"/>
        <v/>
      </c>
      <c r="C1235" s="2" t="str">
        <f ca="1">IF(E1234="continue",SUM(B$8:B1235),"")</f>
        <v/>
      </c>
      <c r="D1235" s="1" t="str">
        <f t="shared" ca="1" si="98"/>
        <v/>
      </c>
      <c r="E1235" s="13" t="str">
        <f t="shared" ca="1" si="99"/>
        <v>No ruin</v>
      </c>
      <c r="F1235">
        <f t="shared" ca="1" si="100"/>
        <v>0</v>
      </c>
    </row>
    <row r="1236" spans="1:6">
      <c r="A1236" s="3" t="str">
        <f t="shared" ca="1" si="96"/>
        <v/>
      </c>
      <c r="B1236" s="2" t="str">
        <f t="shared" ca="1" si="97"/>
        <v/>
      </c>
      <c r="C1236" s="2" t="str">
        <f ca="1">IF(E1235="continue",SUM(B$8:B1236),"")</f>
        <v/>
      </c>
      <c r="D1236" s="1" t="str">
        <f t="shared" ca="1" si="98"/>
        <v/>
      </c>
      <c r="E1236" s="13" t="str">
        <f t="shared" ca="1" si="99"/>
        <v>No ruin</v>
      </c>
      <c r="F1236">
        <f t="shared" ca="1" si="100"/>
        <v>0</v>
      </c>
    </row>
    <row r="1237" spans="1:6">
      <c r="A1237" s="3" t="str">
        <f t="shared" ca="1" si="96"/>
        <v/>
      </c>
      <c r="B1237" s="2" t="str">
        <f t="shared" ca="1" si="97"/>
        <v/>
      </c>
      <c r="C1237" s="2" t="str">
        <f ca="1">IF(E1236="continue",SUM(B$8:B1237),"")</f>
        <v/>
      </c>
      <c r="D1237" s="1" t="str">
        <f t="shared" ca="1" si="98"/>
        <v/>
      </c>
      <c r="E1237" s="13" t="str">
        <f t="shared" ca="1" si="99"/>
        <v>No ruin</v>
      </c>
      <c r="F1237">
        <f t="shared" ca="1" si="100"/>
        <v>0</v>
      </c>
    </row>
    <row r="1238" spans="1:6">
      <c r="A1238" s="3" t="str">
        <f t="shared" ca="1" si="96"/>
        <v/>
      </c>
      <c r="B1238" s="2" t="str">
        <f t="shared" ca="1" si="97"/>
        <v/>
      </c>
      <c r="C1238" s="2" t="str">
        <f ca="1">IF(E1237="continue",SUM(B$8:B1238),"")</f>
        <v/>
      </c>
      <c r="D1238" s="1" t="str">
        <f t="shared" ca="1" si="98"/>
        <v/>
      </c>
      <c r="E1238" s="13" t="str">
        <f t="shared" ca="1" si="99"/>
        <v>No ruin</v>
      </c>
      <c r="F1238">
        <f t="shared" ca="1" si="100"/>
        <v>0</v>
      </c>
    </row>
    <row r="1239" spans="1:6">
      <c r="A1239" s="3" t="str">
        <f t="shared" ca="1" si="96"/>
        <v/>
      </c>
      <c r="B1239" s="2" t="str">
        <f t="shared" ca="1" si="97"/>
        <v/>
      </c>
      <c r="C1239" s="2" t="str">
        <f ca="1">IF(E1238="continue",SUM(B$8:B1239),"")</f>
        <v/>
      </c>
      <c r="D1239" s="1" t="str">
        <f t="shared" ca="1" si="98"/>
        <v/>
      </c>
      <c r="E1239" s="13" t="str">
        <f t="shared" ca="1" si="99"/>
        <v>No ruin</v>
      </c>
      <c r="F1239">
        <f t="shared" ca="1" si="100"/>
        <v>0</v>
      </c>
    </row>
    <row r="1240" spans="1:6">
      <c r="A1240" s="3" t="str">
        <f t="shared" ca="1" si="96"/>
        <v/>
      </c>
      <c r="B1240" s="2" t="str">
        <f t="shared" ca="1" si="97"/>
        <v/>
      </c>
      <c r="C1240" s="2" t="str">
        <f ca="1">IF(E1239="continue",SUM(B$8:B1240),"")</f>
        <v/>
      </c>
      <c r="D1240" s="1" t="str">
        <f t="shared" ca="1" si="98"/>
        <v/>
      </c>
      <c r="E1240" s="13" t="str">
        <f t="shared" ca="1" si="99"/>
        <v>No ruin</v>
      </c>
      <c r="F1240">
        <f t="shared" ca="1" si="100"/>
        <v>0</v>
      </c>
    </row>
    <row r="1241" spans="1:6">
      <c r="A1241" s="3" t="str">
        <f t="shared" ca="1" si="96"/>
        <v/>
      </c>
      <c r="B1241" s="2" t="str">
        <f t="shared" ca="1" si="97"/>
        <v/>
      </c>
      <c r="C1241" s="2" t="str">
        <f ca="1">IF(E1240="continue",SUM(B$8:B1241),"")</f>
        <v/>
      </c>
      <c r="D1241" s="1" t="str">
        <f t="shared" ca="1" si="98"/>
        <v/>
      </c>
      <c r="E1241" s="13" t="str">
        <f t="shared" ca="1" si="99"/>
        <v>No ruin</v>
      </c>
      <c r="F1241">
        <f t="shared" ca="1" si="100"/>
        <v>0</v>
      </c>
    </row>
    <row r="1242" spans="1:6">
      <c r="A1242" s="3" t="str">
        <f t="shared" ca="1" si="96"/>
        <v/>
      </c>
      <c r="B1242" s="2" t="str">
        <f t="shared" ca="1" si="97"/>
        <v/>
      </c>
      <c r="C1242" s="2" t="str">
        <f ca="1">IF(E1241="continue",SUM(B$8:B1242),"")</f>
        <v/>
      </c>
      <c r="D1242" s="1" t="str">
        <f t="shared" ca="1" si="98"/>
        <v/>
      </c>
      <c r="E1242" s="13" t="str">
        <f t="shared" ca="1" si="99"/>
        <v>No ruin</v>
      </c>
      <c r="F1242">
        <f t="shared" ca="1" si="100"/>
        <v>0</v>
      </c>
    </row>
    <row r="1243" spans="1:6">
      <c r="A1243" s="3" t="str">
        <f t="shared" ca="1" si="96"/>
        <v/>
      </c>
      <c r="B1243" s="2" t="str">
        <f t="shared" ca="1" si="97"/>
        <v/>
      </c>
      <c r="C1243" s="2" t="str">
        <f ca="1">IF(E1242="continue",SUM(B$8:B1243),"")</f>
        <v/>
      </c>
      <c r="D1243" s="1" t="str">
        <f t="shared" ca="1" si="98"/>
        <v/>
      </c>
      <c r="E1243" s="13" t="str">
        <f t="shared" ca="1" si="99"/>
        <v>No ruin</v>
      </c>
      <c r="F1243">
        <f t="shared" ca="1" si="100"/>
        <v>0</v>
      </c>
    </row>
    <row r="1244" spans="1:6">
      <c r="A1244" s="3" t="str">
        <f t="shared" ref="A1244:A1307" ca="1" si="101">IF(E1243="continue",-LN(1-RAND())*O$3+A1243,"")</f>
        <v/>
      </c>
      <c r="B1244" s="2" t="str">
        <f t="shared" ref="B1244:B1307" ca="1" si="102">IF(E1243="continue",-LN(1-RAND())*M$3,"")</f>
        <v/>
      </c>
      <c r="C1244" s="2" t="str">
        <f ca="1">IF(E1243="continue",SUM(B$8:B1244),"")</f>
        <v/>
      </c>
      <c r="D1244" s="1" t="str">
        <f t="shared" ref="D1244:D1307" ca="1" si="103">IF(E1243="continue",(1+J$1)*(1/O$3)*M$3*A1244,"")</f>
        <v/>
      </c>
      <c r="E1244" s="13" t="str">
        <f t="shared" ref="E1244:E1307" ca="1" si="104">IF(A1244&gt;G$1,"No ruin",IF(AND(A1244&lt;=G$1,C1244&gt;J$4+D1244),"RUIN","continue"))</f>
        <v>No ruin</v>
      </c>
      <c r="F1244">
        <f t="shared" ca="1" si="100"/>
        <v>0</v>
      </c>
    </row>
    <row r="1245" spans="1:6">
      <c r="A1245" s="3" t="str">
        <f t="shared" ca="1" si="101"/>
        <v/>
      </c>
      <c r="B1245" s="2" t="str">
        <f t="shared" ca="1" si="102"/>
        <v/>
      </c>
      <c r="C1245" s="2" t="str">
        <f ca="1">IF(E1244="continue",SUM(B$8:B1245),"")</f>
        <v/>
      </c>
      <c r="D1245" s="1" t="str">
        <f t="shared" ca="1" si="103"/>
        <v/>
      </c>
      <c r="E1245" s="13" t="str">
        <f t="shared" ca="1" si="104"/>
        <v>No ruin</v>
      </c>
      <c r="F1245">
        <f t="shared" ca="1" si="100"/>
        <v>0</v>
      </c>
    </row>
    <row r="1246" spans="1:6">
      <c r="A1246" s="3" t="str">
        <f t="shared" ca="1" si="101"/>
        <v/>
      </c>
      <c r="B1246" s="2" t="str">
        <f t="shared" ca="1" si="102"/>
        <v/>
      </c>
      <c r="C1246" s="2" t="str">
        <f ca="1">IF(E1245="continue",SUM(B$8:B1246),"")</f>
        <v/>
      </c>
      <c r="D1246" s="1" t="str">
        <f t="shared" ca="1" si="103"/>
        <v/>
      </c>
      <c r="E1246" s="13" t="str">
        <f t="shared" ca="1" si="104"/>
        <v>No ruin</v>
      </c>
      <c r="F1246">
        <f t="shared" ca="1" si="100"/>
        <v>0</v>
      </c>
    </row>
    <row r="1247" spans="1:6">
      <c r="A1247" s="3" t="str">
        <f t="shared" ca="1" si="101"/>
        <v/>
      </c>
      <c r="B1247" s="2" t="str">
        <f t="shared" ca="1" si="102"/>
        <v/>
      </c>
      <c r="C1247" s="2" t="str">
        <f ca="1">IF(E1246="continue",SUM(B$8:B1247),"")</f>
        <v/>
      </c>
      <c r="D1247" s="1" t="str">
        <f t="shared" ca="1" si="103"/>
        <v/>
      </c>
      <c r="E1247" s="13" t="str">
        <f t="shared" ca="1" si="104"/>
        <v>No ruin</v>
      </c>
      <c r="F1247">
        <f t="shared" ca="1" si="100"/>
        <v>0</v>
      </c>
    </row>
    <row r="1248" spans="1:6">
      <c r="A1248" s="3" t="str">
        <f t="shared" ca="1" si="101"/>
        <v/>
      </c>
      <c r="B1248" s="2" t="str">
        <f t="shared" ca="1" si="102"/>
        <v/>
      </c>
      <c r="C1248" s="2" t="str">
        <f ca="1">IF(E1247="continue",SUM(B$8:B1248),"")</f>
        <v/>
      </c>
      <c r="D1248" s="1" t="str">
        <f t="shared" ca="1" si="103"/>
        <v/>
      </c>
      <c r="E1248" s="13" t="str">
        <f t="shared" ca="1" si="104"/>
        <v>No ruin</v>
      </c>
      <c r="F1248">
        <f t="shared" ca="1" si="100"/>
        <v>0</v>
      </c>
    </row>
    <row r="1249" spans="1:6">
      <c r="A1249" s="3" t="str">
        <f t="shared" ca="1" si="101"/>
        <v/>
      </c>
      <c r="B1249" s="2" t="str">
        <f t="shared" ca="1" si="102"/>
        <v/>
      </c>
      <c r="C1249" s="2" t="str">
        <f ca="1">IF(E1248="continue",SUM(B$8:B1249),"")</f>
        <v/>
      </c>
      <c r="D1249" s="1" t="str">
        <f t="shared" ca="1" si="103"/>
        <v/>
      </c>
      <c r="E1249" s="13" t="str">
        <f t="shared" ca="1" si="104"/>
        <v>No ruin</v>
      </c>
      <c r="F1249">
        <f t="shared" ca="1" si="100"/>
        <v>0</v>
      </c>
    </row>
    <row r="1250" spans="1:6">
      <c r="A1250" s="3" t="str">
        <f t="shared" ca="1" si="101"/>
        <v/>
      </c>
      <c r="B1250" s="2" t="str">
        <f t="shared" ca="1" si="102"/>
        <v/>
      </c>
      <c r="C1250" s="2" t="str">
        <f ca="1">IF(E1249="continue",SUM(B$8:B1250),"")</f>
        <v/>
      </c>
      <c r="D1250" s="1" t="str">
        <f t="shared" ca="1" si="103"/>
        <v/>
      </c>
      <c r="E1250" s="13" t="str">
        <f t="shared" ca="1" si="104"/>
        <v>No ruin</v>
      </c>
      <c r="F1250">
        <f t="shared" ca="1" si="100"/>
        <v>0</v>
      </c>
    </row>
    <row r="1251" spans="1:6">
      <c r="A1251" s="3" t="str">
        <f t="shared" ca="1" si="101"/>
        <v/>
      </c>
      <c r="B1251" s="2" t="str">
        <f t="shared" ca="1" si="102"/>
        <v/>
      </c>
      <c r="C1251" s="2" t="str">
        <f ca="1">IF(E1250="continue",SUM(B$8:B1251),"")</f>
        <v/>
      </c>
      <c r="D1251" s="1" t="str">
        <f t="shared" ca="1" si="103"/>
        <v/>
      </c>
      <c r="E1251" s="13" t="str">
        <f t="shared" ca="1" si="104"/>
        <v>No ruin</v>
      </c>
      <c r="F1251">
        <f t="shared" ca="1" si="100"/>
        <v>0</v>
      </c>
    </row>
    <row r="1252" spans="1:6">
      <c r="A1252" s="3" t="str">
        <f t="shared" ca="1" si="101"/>
        <v/>
      </c>
      <c r="B1252" s="2" t="str">
        <f t="shared" ca="1" si="102"/>
        <v/>
      </c>
      <c r="C1252" s="2" t="str">
        <f ca="1">IF(E1251="continue",SUM(B$8:B1252),"")</f>
        <v/>
      </c>
      <c r="D1252" s="1" t="str">
        <f t="shared" ca="1" si="103"/>
        <v/>
      </c>
      <c r="E1252" s="13" t="str">
        <f t="shared" ca="1" si="104"/>
        <v>No ruin</v>
      </c>
      <c r="F1252">
        <f t="shared" ca="1" si="100"/>
        <v>0</v>
      </c>
    </row>
    <row r="1253" spans="1:6">
      <c r="A1253" s="3" t="str">
        <f t="shared" ca="1" si="101"/>
        <v/>
      </c>
      <c r="B1253" s="2" t="str">
        <f t="shared" ca="1" si="102"/>
        <v/>
      </c>
      <c r="C1253" s="2" t="str">
        <f ca="1">IF(E1252="continue",SUM(B$8:B1253),"")</f>
        <v/>
      </c>
      <c r="D1253" s="1" t="str">
        <f t="shared" ca="1" si="103"/>
        <v/>
      </c>
      <c r="E1253" s="13" t="str">
        <f t="shared" ca="1" si="104"/>
        <v>No ruin</v>
      </c>
      <c r="F1253">
        <f t="shared" ca="1" si="100"/>
        <v>0</v>
      </c>
    </row>
    <row r="1254" spans="1:6">
      <c r="A1254" s="3" t="str">
        <f t="shared" ca="1" si="101"/>
        <v/>
      </c>
      <c r="B1254" s="2" t="str">
        <f t="shared" ca="1" si="102"/>
        <v/>
      </c>
      <c r="C1254" s="2" t="str">
        <f ca="1">IF(E1253="continue",SUM(B$8:B1254),"")</f>
        <v/>
      </c>
      <c r="D1254" s="1" t="str">
        <f t="shared" ca="1" si="103"/>
        <v/>
      </c>
      <c r="E1254" s="13" t="str">
        <f t="shared" ca="1" si="104"/>
        <v>No ruin</v>
      </c>
      <c r="F1254">
        <f t="shared" ca="1" si="100"/>
        <v>0</v>
      </c>
    </row>
    <row r="1255" spans="1:6">
      <c r="A1255" s="3" t="str">
        <f t="shared" ca="1" si="101"/>
        <v/>
      </c>
      <c r="B1255" s="2" t="str">
        <f t="shared" ca="1" si="102"/>
        <v/>
      </c>
      <c r="C1255" s="2" t="str">
        <f ca="1">IF(E1254="continue",SUM(B$8:B1255),"")</f>
        <v/>
      </c>
      <c r="D1255" s="1" t="str">
        <f t="shared" ca="1" si="103"/>
        <v/>
      </c>
      <c r="E1255" s="13" t="str">
        <f t="shared" ca="1" si="104"/>
        <v>No ruin</v>
      </c>
      <c r="F1255">
        <f t="shared" ca="1" si="100"/>
        <v>0</v>
      </c>
    </row>
    <row r="1256" spans="1:6">
      <c r="A1256" s="3" t="str">
        <f t="shared" ca="1" si="101"/>
        <v/>
      </c>
      <c r="B1256" s="2" t="str">
        <f t="shared" ca="1" si="102"/>
        <v/>
      </c>
      <c r="C1256" s="2" t="str">
        <f ca="1">IF(E1255="continue",SUM(B$8:B1256),"")</f>
        <v/>
      </c>
      <c r="D1256" s="1" t="str">
        <f t="shared" ca="1" si="103"/>
        <v/>
      </c>
      <c r="E1256" s="13" t="str">
        <f t="shared" ca="1" si="104"/>
        <v>No ruin</v>
      </c>
      <c r="F1256">
        <f t="shared" ca="1" si="100"/>
        <v>0</v>
      </c>
    </row>
    <row r="1257" spans="1:6">
      <c r="A1257" s="3" t="str">
        <f t="shared" ca="1" si="101"/>
        <v/>
      </c>
      <c r="B1257" s="2" t="str">
        <f t="shared" ca="1" si="102"/>
        <v/>
      </c>
      <c r="C1257" s="2" t="str">
        <f ca="1">IF(E1256="continue",SUM(B$8:B1257),"")</f>
        <v/>
      </c>
      <c r="D1257" s="1" t="str">
        <f t="shared" ca="1" si="103"/>
        <v/>
      </c>
      <c r="E1257" s="13" t="str">
        <f t="shared" ca="1" si="104"/>
        <v>No ruin</v>
      </c>
      <c r="F1257">
        <f t="shared" ca="1" si="100"/>
        <v>0</v>
      </c>
    </row>
    <row r="1258" spans="1:6">
      <c r="A1258" s="3" t="str">
        <f t="shared" ca="1" si="101"/>
        <v/>
      </c>
      <c r="B1258" s="2" t="str">
        <f t="shared" ca="1" si="102"/>
        <v/>
      </c>
      <c r="C1258" s="2" t="str">
        <f ca="1">IF(E1257="continue",SUM(B$8:B1258),"")</f>
        <v/>
      </c>
      <c r="D1258" s="1" t="str">
        <f t="shared" ca="1" si="103"/>
        <v/>
      </c>
      <c r="E1258" s="13" t="str">
        <f t="shared" ca="1" si="104"/>
        <v>No ruin</v>
      </c>
      <c r="F1258">
        <f t="shared" ca="1" si="100"/>
        <v>0</v>
      </c>
    </row>
    <row r="1259" spans="1:6">
      <c r="A1259" s="3" t="str">
        <f t="shared" ca="1" si="101"/>
        <v/>
      </c>
      <c r="B1259" s="2" t="str">
        <f t="shared" ca="1" si="102"/>
        <v/>
      </c>
      <c r="C1259" s="2" t="str">
        <f ca="1">IF(E1258="continue",SUM(B$8:B1259),"")</f>
        <v/>
      </c>
      <c r="D1259" s="1" t="str">
        <f t="shared" ca="1" si="103"/>
        <v/>
      </c>
      <c r="E1259" s="13" t="str">
        <f t="shared" ca="1" si="104"/>
        <v>No ruin</v>
      </c>
      <c r="F1259">
        <f t="shared" ca="1" si="100"/>
        <v>0</v>
      </c>
    </row>
    <row r="1260" spans="1:6">
      <c r="A1260" s="3" t="str">
        <f t="shared" ca="1" si="101"/>
        <v/>
      </c>
      <c r="B1260" s="2" t="str">
        <f t="shared" ca="1" si="102"/>
        <v/>
      </c>
      <c r="C1260" s="2" t="str">
        <f ca="1">IF(E1259="continue",SUM(B$8:B1260),"")</f>
        <v/>
      </c>
      <c r="D1260" s="1" t="str">
        <f t="shared" ca="1" si="103"/>
        <v/>
      </c>
      <c r="E1260" s="13" t="str">
        <f t="shared" ca="1" si="104"/>
        <v>No ruin</v>
      </c>
      <c r="F1260">
        <f t="shared" ca="1" si="100"/>
        <v>0</v>
      </c>
    </row>
    <row r="1261" spans="1:6">
      <c r="A1261" s="3" t="str">
        <f t="shared" ca="1" si="101"/>
        <v/>
      </c>
      <c r="B1261" s="2" t="str">
        <f t="shared" ca="1" si="102"/>
        <v/>
      </c>
      <c r="C1261" s="2" t="str">
        <f ca="1">IF(E1260="continue",SUM(B$8:B1261),"")</f>
        <v/>
      </c>
      <c r="D1261" s="1" t="str">
        <f t="shared" ca="1" si="103"/>
        <v/>
      </c>
      <c r="E1261" s="13" t="str">
        <f t="shared" ca="1" si="104"/>
        <v>No ruin</v>
      </c>
      <c r="F1261">
        <f t="shared" ca="1" si="100"/>
        <v>0</v>
      </c>
    </row>
    <row r="1262" spans="1:6">
      <c r="A1262" s="3" t="str">
        <f t="shared" ca="1" si="101"/>
        <v/>
      </c>
      <c r="B1262" s="2" t="str">
        <f t="shared" ca="1" si="102"/>
        <v/>
      </c>
      <c r="C1262" s="2" t="str">
        <f ca="1">IF(E1261="continue",SUM(B$8:B1262),"")</f>
        <v/>
      </c>
      <c r="D1262" s="1" t="str">
        <f t="shared" ca="1" si="103"/>
        <v/>
      </c>
      <c r="E1262" s="13" t="str">
        <f t="shared" ca="1" si="104"/>
        <v>No ruin</v>
      </c>
      <c r="F1262">
        <f t="shared" ca="1" si="100"/>
        <v>0</v>
      </c>
    </row>
    <row r="1263" spans="1:6">
      <c r="A1263" s="3" t="str">
        <f t="shared" ca="1" si="101"/>
        <v/>
      </c>
      <c r="B1263" s="2" t="str">
        <f t="shared" ca="1" si="102"/>
        <v/>
      </c>
      <c r="C1263" s="2" t="str">
        <f ca="1">IF(E1262="continue",SUM(B$8:B1263),"")</f>
        <v/>
      </c>
      <c r="D1263" s="1" t="str">
        <f t="shared" ca="1" si="103"/>
        <v/>
      </c>
      <c r="E1263" s="13" t="str">
        <f t="shared" ca="1" si="104"/>
        <v>No ruin</v>
      </c>
      <c r="F1263">
        <f t="shared" ca="1" si="100"/>
        <v>0</v>
      </c>
    </row>
    <row r="1264" spans="1:6">
      <c r="A1264" s="3" t="str">
        <f t="shared" ca="1" si="101"/>
        <v/>
      </c>
      <c r="B1264" s="2" t="str">
        <f t="shared" ca="1" si="102"/>
        <v/>
      </c>
      <c r="C1264" s="2" t="str">
        <f ca="1">IF(E1263="continue",SUM(B$8:B1264),"")</f>
        <v/>
      </c>
      <c r="D1264" s="1" t="str">
        <f t="shared" ca="1" si="103"/>
        <v/>
      </c>
      <c r="E1264" s="13" t="str">
        <f t="shared" ca="1" si="104"/>
        <v>No ruin</v>
      </c>
      <c r="F1264">
        <f t="shared" ca="1" si="100"/>
        <v>0</v>
      </c>
    </row>
    <row r="1265" spans="1:6">
      <c r="A1265" s="3" t="str">
        <f t="shared" ca="1" si="101"/>
        <v/>
      </c>
      <c r="B1265" s="2" t="str">
        <f t="shared" ca="1" si="102"/>
        <v/>
      </c>
      <c r="C1265" s="2" t="str">
        <f ca="1">IF(E1264="continue",SUM(B$8:B1265),"")</f>
        <v/>
      </c>
      <c r="D1265" s="1" t="str">
        <f t="shared" ca="1" si="103"/>
        <v/>
      </c>
      <c r="E1265" s="13" t="str">
        <f t="shared" ca="1" si="104"/>
        <v>No ruin</v>
      </c>
      <c r="F1265">
        <f t="shared" ca="1" si="100"/>
        <v>0</v>
      </c>
    </row>
    <row r="1266" spans="1:6">
      <c r="A1266" s="3" t="str">
        <f t="shared" ca="1" si="101"/>
        <v/>
      </c>
      <c r="B1266" s="2" t="str">
        <f t="shared" ca="1" si="102"/>
        <v/>
      </c>
      <c r="C1266" s="2" t="str">
        <f ca="1">IF(E1265="continue",SUM(B$8:B1266),"")</f>
        <v/>
      </c>
      <c r="D1266" s="1" t="str">
        <f t="shared" ca="1" si="103"/>
        <v/>
      </c>
      <c r="E1266" s="13" t="str">
        <f t="shared" ca="1" si="104"/>
        <v>No ruin</v>
      </c>
      <c r="F1266">
        <f t="shared" ca="1" si="100"/>
        <v>0</v>
      </c>
    </row>
    <row r="1267" spans="1:6">
      <c r="A1267" s="3" t="str">
        <f t="shared" ca="1" si="101"/>
        <v/>
      </c>
      <c r="B1267" s="2" t="str">
        <f t="shared" ca="1" si="102"/>
        <v/>
      </c>
      <c r="C1267" s="2" t="str">
        <f ca="1">IF(E1266="continue",SUM(B$8:B1267),"")</f>
        <v/>
      </c>
      <c r="D1267" s="1" t="str">
        <f t="shared" ca="1" si="103"/>
        <v/>
      </c>
      <c r="E1267" s="13" t="str">
        <f t="shared" ca="1" si="104"/>
        <v>No ruin</v>
      </c>
      <c r="F1267">
        <f t="shared" ca="1" si="100"/>
        <v>0</v>
      </c>
    </row>
    <row r="1268" spans="1:6">
      <c r="A1268" s="3" t="str">
        <f t="shared" ca="1" si="101"/>
        <v/>
      </c>
      <c r="B1268" s="2" t="str">
        <f t="shared" ca="1" si="102"/>
        <v/>
      </c>
      <c r="C1268" s="2" t="str">
        <f ca="1">IF(E1267="continue",SUM(B$8:B1268),"")</f>
        <v/>
      </c>
      <c r="D1268" s="1" t="str">
        <f t="shared" ca="1" si="103"/>
        <v/>
      </c>
      <c r="E1268" s="13" t="str">
        <f t="shared" ca="1" si="104"/>
        <v>No ruin</v>
      </c>
      <c r="F1268">
        <f t="shared" ca="1" si="100"/>
        <v>0</v>
      </c>
    </row>
    <row r="1269" spans="1:6">
      <c r="A1269" s="3" t="str">
        <f t="shared" ca="1" si="101"/>
        <v/>
      </c>
      <c r="B1269" s="2" t="str">
        <f t="shared" ca="1" si="102"/>
        <v/>
      </c>
      <c r="C1269" s="2" t="str">
        <f ca="1">IF(E1268="continue",SUM(B$8:B1269),"")</f>
        <v/>
      </c>
      <c r="D1269" s="1" t="str">
        <f t="shared" ca="1" si="103"/>
        <v/>
      </c>
      <c r="E1269" s="13" t="str">
        <f t="shared" ca="1" si="104"/>
        <v>No ruin</v>
      </c>
      <c r="F1269">
        <f t="shared" ca="1" si="100"/>
        <v>0</v>
      </c>
    </row>
    <row r="1270" spans="1:6">
      <c r="A1270" s="3" t="str">
        <f t="shared" ca="1" si="101"/>
        <v/>
      </c>
      <c r="B1270" s="2" t="str">
        <f t="shared" ca="1" si="102"/>
        <v/>
      </c>
      <c r="C1270" s="2" t="str">
        <f ca="1">IF(E1269="continue",SUM(B$8:B1270),"")</f>
        <v/>
      </c>
      <c r="D1270" s="1" t="str">
        <f t="shared" ca="1" si="103"/>
        <v/>
      </c>
      <c r="E1270" s="13" t="str">
        <f t="shared" ca="1" si="104"/>
        <v>No ruin</v>
      </c>
      <c r="F1270">
        <f t="shared" ca="1" si="100"/>
        <v>0</v>
      </c>
    </row>
    <row r="1271" spans="1:6">
      <c r="A1271" s="3" t="str">
        <f t="shared" ca="1" si="101"/>
        <v/>
      </c>
      <c r="B1271" s="2" t="str">
        <f t="shared" ca="1" si="102"/>
        <v/>
      </c>
      <c r="C1271" s="2" t="str">
        <f ca="1">IF(E1270="continue",SUM(B$8:B1271),"")</f>
        <v/>
      </c>
      <c r="D1271" s="1" t="str">
        <f t="shared" ca="1" si="103"/>
        <v/>
      </c>
      <c r="E1271" s="13" t="str">
        <f t="shared" ca="1" si="104"/>
        <v>No ruin</v>
      </c>
      <c r="F1271">
        <f t="shared" ca="1" si="100"/>
        <v>0</v>
      </c>
    </row>
    <row r="1272" spans="1:6">
      <c r="A1272" s="3" t="str">
        <f t="shared" ca="1" si="101"/>
        <v/>
      </c>
      <c r="B1272" s="2" t="str">
        <f t="shared" ca="1" si="102"/>
        <v/>
      </c>
      <c r="C1272" s="2" t="str">
        <f ca="1">IF(E1271="continue",SUM(B$8:B1272),"")</f>
        <v/>
      </c>
      <c r="D1272" s="1" t="str">
        <f t="shared" ca="1" si="103"/>
        <v/>
      </c>
      <c r="E1272" s="13" t="str">
        <f t="shared" ca="1" si="104"/>
        <v>No ruin</v>
      </c>
      <c r="F1272">
        <f t="shared" ca="1" si="100"/>
        <v>0</v>
      </c>
    </row>
    <row r="1273" spans="1:6">
      <c r="A1273" s="3" t="str">
        <f t="shared" ca="1" si="101"/>
        <v/>
      </c>
      <c r="B1273" s="2" t="str">
        <f t="shared" ca="1" si="102"/>
        <v/>
      </c>
      <c r="C1273" s="2" t="str">
        <f ca="1">IF(E1272="continue",SUM(B$8:B1273),"")</f>
        <v/>
      </c>
      <c r="D1273" s="1" t="str">
        <f t="shared" ca="1" si="103"/>
        <v/>
      </c>
      <c r="E1273" s="13" t="str">
        <f t="shared" ca="1" si="104"/>
        <v>No ruin</v>
      </c>
      <c r="F1273">
        <f t="shared" ca="1" si="100"/>
        <v>0</v>
      </c>
    </row>
    <row r="1274" spans="1:6">
      <c r="A1274" s="3" t="str">
        <f t="shared" ca="1" si="101"/>
        <v/>
      </c>
      <c r="B1274" s="2" t="str">
        <f t="shared" ca="1" si="102"/>
        <v/>
      </c>
      <c r="C1274" s="2" t="str">
        <f ca="1">IF(E1273="continue",SUM(B$8:B1274),"")</f>
        <v/>
      </c>
      <c r="D1274" s="1" t="str">
        <f t="shared" ca="1" si="103"/>
        <v/>
      </c>
      <c r="E1274" s="13" t="str">
        <f t="shared" ca="1" si="104"/>
        <v>No ruin</v>
      </c>
      <c r="F1274">
        <f t="shared" ca="1" si="100"/>
        <v>0</v>
      </c>
    </row>
    <row r="1275" spans="1:6">
      <c r="A1275" s="3" t="str">
        <f t="shared" ca="1" si="101"/>
        <v/>
      </c>
      <c r="B1275" s="2" t="str">
        <f t="shared" ca="1" si="102"/>
        <v/>
      </c>
      <c r="C1275" s="2" t="str">
        <f ca="1">IF(E1274="continue",SUM(B$8:B1275),"")</f>
        <v/>
      </c>
      <c r="D1275" s="1" t="str">
        <f t="shared" ca="1" si="103"/>
        <v/>
      </c>
      <c r="E1275" s="13" t="str">
        <f t="shared" ca="1" si="104"/>
        <v>No ruin</v>
      </c>
      <c r="F1275">
        <f t="shared" ca="1" si="100"/>
        <v>0</v>
      </c>
    </row>
    <row r="1276" spans="1:6">
      <c r="A1276" s="3" t="str">
        <f t="shared" ca="1" si="101"/>
        <v/>
      </c>
      <c r="B1276" s="2" t="str">
        <f t="shared" ca="1" si="102"/>
        <v/>
      </c>
      <c r="C1276" s="2" t="str">
        <f ca="1">IF(E1275="continue",SUM(B$8:B1276),"")</f>
        <v/>
      </c>
      <c r="D1276" s="1" t="str">
        <f t="shared" ca="1" si="103"/>
        <v/>
      </c>
      <c r="E1276" s="13" t="str">
        <f t="shared" ca="1" si="104"/>
        <v>No ruin</v>
      </c>
      <c r="F1276">
        <f t="shared" ca="1" si="100"/>
        <v>0</v>
      </c>
    </row>
    <row r="1277" spans="1:6">
      <c r="A1277" s="3" t="str">
        <f t="shared" ca="1" si="101"/>
        <v/>
      </c>
      <c r="B1277" s="2" t="str">
        <f t="shared" ca="1" si="102"/>
        <v/>
      </c>
      <c r="C1277" s="2" t="str">
        <f ca="1">IF(E1276="continue",SUM(B$8:B1277),"")</f>
        <v/>
      </c>
      <c r="D1277" s="1" t="str">
        <f t="shared" ca="1" si="103"/>
        <v/>
      </c>
      <c r="E1277" s="13" t="str">
        <f t="shared" ca="1" si="104"/>
        <v>No ruin</v>
      </c>
      <c r="F1277">
        <f t="shared" ca="1" si="100"/>
        <v>0</v>
      </c>
    </row>
    <row r="1278" spans="1:6">
      <c r="A1278" s="3" t="str">
        <f t="shared" ca="1" si="101"/>
        <v/>
      </c>
      <c r="B1278" s="2" t="str">
        <f t="shared" ca="1" si="102"/>
        <v/>
      </c>
      <c r="C1278" s="2" t="str">
        <f ca="1">IF(E1277="continue",SUM(B$8:B1278),"")</f>
        <v/>
      </c>
      <c r="D1278" s="1" t="str">
        <f t="shared" ca="1" si="103"/>
        <v/>
      </c>
      <c r="E1278" s="13" t="str">
        <f t="shared" ca="1" si="104"/>
        <v>No ruin</v>
      </c>
      <c r="F1278">
        <f t="shared" ca="1" si="100"/>
        <v>0</v>
      </c>
    </row>
    <row r="1279" spans="1:6">
      <c r="A1279" s="3" t="str">
        <f t="shared" ca="1" si="101"/>
        <v/>
      </c>
      <c r="B1279" s="2" t="str">
        <f t="shared" ca="1" si="102"/>
        <v/>
      </c>
      <c r="C1279" s="2" t="str">
        <f ca="1">IF(E1278="continue",SUM(B$8:B1279),"")</f>
        <v/>
      </c>
      <c r="D1279" s="1" t="str">
        <f t="shared" ca="1" si="103"/>
        <v/>
      </c>
      <c r="E1279" s="13" t="str">
        <f t="shared" ca="1" si="104"/>
        <v>No ruin</v>
      </c>
      <c r="F1279">
        <f t="shared" ca="1" si="100"/>
        <v>0</v>
      </c>
    </row>
    <row r="1280" spans="1:6">
      <c r="A1280" s="3" t="str">
        <f t="shared" ca="1" si="101"/>
        <v/>
      </c>
      <c r="B1280" s="2" t="str">
        <f t="shared" ca="1" si="102"/>
        <v/>
      </c>
      <c r="C1280" s="2" t="str">
        <f ca="1">IF(E1279="continue",SUM(B$8:B1280),"")</f>
        <v/>
      </c>
      <c r="D1280" s="1" t="str">
        <f t="shared" ca="1" si="103"/>
        <v/>
      </c>
      <c r="E1280" s="13" t="str">
        <f t="shared" ca="1" si="104"/>
        <v>No ruin</v>
      </c>
      <c r="F1280">
        <f t="shared" ca="1" si="100"/>
        <v>0</v>
      </c>
    </row>
    <row r="1281" spans="1:6">
      <c r="A1281" s="3" t="str">
        <f t="shared" ca="1" si="101"/>
        <v/>
      </c>
      <c r="B1281" s="2" t="str">
        <f t="shared" ca="1" si="102"/>
        <v/>
      </c>
      <c r="C1281" s="2" t="str">
        <f ca="1">IF(E1280="continue",SUM(B$8:B1281),"")</f>
        <v/>
      </c>
      <c r="D1281" s="1" t="str">
        <f t="shared" ca="1" si="103"/>
        <v/>
      </c>
      <c r="E1281" s="13" t="str">
        <f t="shared" ca="1" si="104"/>
        <v>No ruin</v>
      </c>
      <c r="F1281">
        <f t="shared" ca="1" si="100"/>
        <v>0</v>
      </c>
    </row>
    <row r="1282" spans="1:6">
      <c r="A1282" s="3" t="str">
        <f t="shared" ca="1" si="101"/>
        <v/>
      </c>
      <c r="B1282" s="2" t="str">
        <f t="shared" ca="1" si="102"/>
        <v/>
      </c>
      <c r="C1282" s="2" t="str">
        <f ca="1">IF(E1281="continue",SUM(B$8:B1282),"")</f>
        <v/>
      </c>
      <c r="D1282" s="1" t="str">
        <f t="shared" ca="1" si="103"/>
        <v/>
      </c>
      <c r="E1282" s="13" t="str">
        <f t="shared" ca="1" si="104"/>
        <v>No ruin</v>
      </c>
      <c r="F1282">
        <f t="shared" ca="1" si="100"/>
        <v>0</v>
      </c>
    </row>
    <row r="1283" spans="1:6">
      <c r="A1283" s="3" t="str">
        <f t="shared" ca="1" si="101"/>
        <v/>
      </c>
      <c r="B1283" s="2" t="str">
        <f t="shared" ca="1" si="102"/>
        <v/>
      </c>
      <c r="C1283" s="2" t="str">
        <f ca="1">IF(E1282="continue",SUM(B$8:B1283),"")</f>
        <v/>
      </c>
      <c r="D1283" s="1" t="str">
        <f t="shared" ca="1" si="103"/>
        <v/>
      </c>
      <c r="E1283" s="13" t="str">
        <f t="shared" ca="1" si="104"/>
        <v>No ruin</v>
      </c>
      <c r="F1283">
        <f t="shared" ca="1" si="100"/>
        <v>0</v>
      </c>
    </row>
    <row r="1284" spans="1:6">
      <c r="A1284" s="3" t="str">
        <f t="shared" ca="1" si="101"/>
        <v/>
      </c>
      <c r="B1284" s="2" t="str">
        <f t="shared" ca="1" si="102"/>
        <v/>
      </c>
      <c r="C1284" s="2" t="str">
        <f ca="1">IF(E1283="continue",SUM(B$8:B1284),"")</f>
        <v/>
      </c>
      <c r="D1284" s="1" t="str">
        <f t="shared" ca="1" si="103"/>
        <v/>
      </c>
      <c r="E1284" s="13" t="str">
        <f t="shared" ca="1" si="104"/>
        <v>No ruin</v>
      </c>
      <c r="F1284">
        <f t="shared" ca="1" si="100"/>
        <v>0</v>
      </c>
    </row>
    <row r="1285" spans="1:6">
      <c r="A1285" s="3" t="str">
        <f t="shared" ca="1" si="101"/>
        <v/>
      </c>
      <c r="B1285" s="2" t="str">
        <f t="shared" ca="1" si="102"/>
        <v/>
      </c>
      <c r="C1285" s="2" t="str">
        <f ca="1">IF(E1284="continue",SUM(B$8:B1285),"")</f>
        <v/>
      </c>
      <c r="D1285" s="1" t="str">
        <f t="shared" ca="1" si="103"/>
        <v/>
      </c>
      <c r="E1285" s="13" t="str">
        <f t="shared" ca="1" si="104"/>
        <v>No ruin</v>
      </c>
      <c r="F1285">
        <f t="shared" ca="1" si="100"/>
        <v>0</v>
      </c>
    </row>
    <row r="1286" spans="1:6">
      <c r="A1286" s="3" t="str">
        <f t="shared" ca="1" si="101"/>
        <v/>
      </c>
      <c r="B1286" s="2" t="str">
        <f t="shared" ca="1" si="102"/>
        <v/>
      </c>
      <c r="C1286" s="2" t="str">
        <f ca="1">IF(E1285="continue",SUM(B$8:B1286),"")</f>
        <v/>
      </c>
      <c r="D1286" s="1" t="str">
        <f t="shared" ca="1" si="103"/>
        <v/>
      </c>
      <c r="E1286" s="13" t="str">
        <f t="shared" ca="1" si="104"/>
        <v>No ruin</v>
      </c>
      <c r="F1286">
        <f t="shared" ca="1" si="100"/>
        <v>0</v>
      </c>
    </row>
    <row r="1287" spans="1:6">
      <c r="A1287" s="3" t="str">
        <f t="shared" ca="1" si="101"/>
        <v/>
      </c>
      <c r="B1287" s="2" t="str">
        <f t="shared" ca="1" si="102"/>
        <v/>
      </c>
      <c r="C1287" s="2" t="str">
        <f ca="1">IF(E1286="continue",SUM(B$8:B1287),"")</f>
        <v/>
      </c>
      <c r="D1287" s="1" t="str">
        <f t="shared" ca="1" si="103"/>
        <v/>
      </c>
      <c r="E1287" s="13" t="str">
        <f t="shared" ca="1" si="104"/>
        <v>No ruin</v>
      </c>
      <c r="F1287">
        <f t="shared" ca="1" si="100"/>
        <v>0</v>
      </c>
    </row>
    <row r="1288" spans="1:6">
      <c r="A1288" s="3" t="str">
        <f t="shared" ca="1" si="101"/>
        <v/>
      </c>
      <c r="B1288" s="2" t="str">
        <f t="shared" ca="1" si="102"/>
        <v/>
      </c>
      <c r="C1288" s="2" t="str">
        <f ca="1">IF(E1287="continue",SUM(B$8:B1288),"")</f>
        <v/>
      </c>
      <c r="D1288" s="1" t="str">
        <f t="shared" ca="1" si="103"/>
        <v/>
      </c>
      <c r="E1288" s="13" t="str">
        <f t="shared" ca="1" si="104"/>
        <v>No ruin</v>
      </c>
      <c r="F1288">
        <f t="shared" ca="1" si="100"/>
        <v>0</v>
      </c>
    </row>
    <row r="1289" spans="1:6">
      <c r="A1289" s="3" t="str">
        <f t="shared" ca="1" si="101"/>
        <v/>
      </c>
      <c r="B1289" s="2" t="str">
        <f t="shared" ca="1" si="102"/>
        <v/>
      </c>
      <c r="C1289" s="2" t="str">
        <f ca="1">IF(E1288="continue",SUM(B$8:B1289),"")</f>
        <v/>
      </c>
      <c r="D1289" s="1" t="str">
        <f t="shared" ca="1" si="103"/>
        <v/>
      </c>
      <c r="E1289" s="13" t="str">
        <f t="shared" ca="1" si="104"/>
        <v>No ruin</v>
      </c>
      <c r="F1289">
        <f t="shared" ca="1" si="100"/>
        <v>0</v>
      </c>
    </row>
    <row r="1290" spans="1:6">
      <c r="A1290" s="3" t="str">
        <f t="shared" ca="1" si="101"/>
        <v/>
      </c>
      <c r="B1290" s="2" t="str">
        <f t="shared" ca="1" si="102"/>
        <v/>
      </c>
      <c r="C1290" s="2" t="str">
        <f ca="1">IF(E1289="continue",SUM(B$8:B1290),"")</f>
        <v/>
      </c>
      <c r="D1290" s="1" t="str">
        <f t="shared" ca="1" si="103"/>
        <v/>
      </c>
      <c r="E1290" s="13" t="str">
        <f t="shared" ca="1" si="104"/>
        <v>No ruin</v>
      </c>
      <c r="F1290">
        <f t="shared" ref="F1290:F1353" ca="1" si="105">IF(E1290="RUIN",1,0)</f>
        <v>0</v>
      </c>
    </row>
    <row r="1291" spans="1:6">
      <c r="A1291" s="3" t="str">
        <f t="shared" ca="1" si="101"/>
        <v/>
      </c>
      <c r="B1291" s="2" t="str">
        <f t="shared" ca="1" si="102"/>
        <v/>
      </c>
      <c r="C1291" s="2" t="str">
        <f ca="1">IF(E1290="continue",SUM(B$8:B1291),"")</f>
        <v/>
      </c>
      <c r="D1291" s="1" t="str">
        <f t="shared" ca="1" si="103"/>
        <v/>
      </c>
      <c r="E1291" s="13" t="str">
        <f t="shared" ca="1" si="104"/>
        <v>No ruin</v>
      </c>
      <c r="F1291">
        <f t="shared" ca="1" si="105"/>
        <v>0</v>
      </c>
    </row>
    <row r="1292" spans="1:6">
      <c r="A1292" s="3" t="str">
        <f t="shared" ca="1" si="101"/>
        <v/>
      </c>
      <c r="B1292" s="2" t="str">
        <f t="shared" ca="1" si="102"/>
        <v/>
      </c>
      <c r="C1292" s="2" t="str">
        <f ca="1">IF(E1291="continue",SUM(B$8:B1292),"")</f>
        <v/>
      </c>
      <c r="D1292" s="1" t="str">
        <f t="shared" ca="1" si="103"/>
        <v/>
      </c>
      <c r="E1292" s="13" t="str">
        <f t="shared" ca="1" si="104"/>
        <v>No ruin</v>
      </c>
      <c r="F1292">
        <f t="shared" ca="1" si="105"/>
        <v>0</v>
      </c>
    </row>
    <row r="1293" spans="1:6">
      <c r="A1293" s="3" t="str">
        <f t="shared" ca="1" si="101"/>
        <v/>
      </c>
      <c r="B1293" s="2" t="str">
        <f t="shared" ca="1" si="102"/>
        <v/>
      </c>
      <c r="C1293" s="2" t="str">
        <f ca="1">IF(E1292="continue",SUM(B$8:B1293),"")</f>
        <v/>
      </c>
      <c r="D1293" s="1" t="str">
        <f t="shared" ca="1" si="103"/>
        <v/>
      </c>
      <c r="E1293" s="13" t="str">
        <f t="shared" ca="1" si="104"/>
        <v>No ruin</v>
      </c>
      <c r="F1293">
        <f t="shared" ca="1" si="105"/>
        <v>0</v>
      </c>
    </row>
    <row r="1294" spans="1:6">
      <c r="A1294" s="3" t="str">
        <f t="shared" ca="1" si="101"/>
        <v/>
      </c>
      <c r="B1294" s="2" t="str">
        <f t="shared" ca="1" si="102"/>
        <v/>
      </c>
      <c r="C1294" s="2" t="str">
        <f ca="1">IF(E1293="continue",SUM(B$8:B1294),"")</f>
        <v/>
      </c>
      <c r="D1294" s="1" t="str">
        <f t="shared" ca="1" si="103"/>
        <v/>
      </c>
      <c r="E1294" s="13" t="str">
        <f t="shared" ca="1" si="104"/>
        <v>No ruin</v>
      </c>
      <c r="F1294">
        <f t="shared" ca="1" si="105"/>
        <v>0</v>
      </c>
    </row>
    <row r="1295" spans="1:6">
      <c r="A1295" s="3" t="str">
        <f t="shared" ca="1" si="101"/>
        <v/>
      </c>
      <c r="B1295" s="2" t="str">
        <f t="shared" ca="1" si="102"/>
        <v/>
      </c>
      <c r="C1295" s="2" t="str">
        <f ca="1">IF(E1294="continue",SUM(B$8:B1295),"")</f>
        <v/>
      </c>
      <c r="D1295" s="1" t="str">
        <f t="shared" ca="1" si="103"/>
        <v/>
      </c>
      <c r="E1295" s="13" t="str">
        <f t="shared" ca="1" si="104"/>
        <v>No ruin</v>
      </c>
      <c r="F1295">
        <f t="shared" ca="1" si="105"/>
        <v>0</v>
      </c>
    </row>
    <row r="1296" spans="1:6">
      <c r="A1296" s="3" t="str">
        <f t="shared" ca="1" si="101"/>
        <v/>
      </c>
      <c r="B1296" s="2" t="str">
        <f t="shared" ca="1" si="102"/>
        <v/>
      </c>
      <c r="C1296" s="2" t="str">
        <f ca="1">IF(E1295="continue",SUM(B$8:B1296),"")</f>
        <v/>
      </c>
      <c r="D1296" s="1" t="str">
        <f t="shared" ca="1" si="103"/>
        <v/>
      </c>
      <c r="E1296" s="13" t="str">
        <f t="shared" ca="1" si="104"/>
        <v>No ruin</v>
      </c>
      <c r="F1296">
        <f t="shared" ca="1" si="105"/>
        <v>0</v>
      </c>
    </row>
    <row r="1297" spans="1:6">
      <c r="A1297" s="3" t="str">
        <f t="shared" ca="1" si="101"/>
        <v/>
      </c>
      <c r="B1297" s="2" t="str">
        <f t="shared" ca="1" si="102"/>
        <v/>
      </c>
      <c r="C1297" s="2" t="str">
        <f ca="1">IF(E1296="continue",SUM(B$8:B1297),"")</f>
        <v/>
      </c>
      <c r="D1297" s="1" t="str">
        <f t="shared" ca="1" si="103"/>
        <v/>
      </c>
      <c r="E1297" s="13" t="str">
        <f t="shared" ca="1" si="104"/>
        <v>No ruin</v>
      </c>
      <c r="F1297">
        <f t="shared" ca="1" si="105"/>
        <v>0</v>
      </c>
    </row>
    <row r="1298" spans="1:6">
      <c r="A1298" s="3" t="str">
        <f t="shared" ca="1" si="101"/>
        <v/>
      </c>
      <c r="B1298" s="2" t="str">
        <f t="shared" ca="1" si="102"/>
        <v/>
      </c>
      <c r="C1298" s="2" t="str">
        <f ca="1">IF(E1297="continue",SUM(B$8:B1298),"")</f>
        <v/>
      </c>
      <c r="D1298" s="1" t="str">
        <f t="shared" ca="1" si="103"/>
        <v/>
      </c>
      <c r="E1298" s="13" t="str">
        <f t="shared" ca="1" si="104"/>
        <v>No ruin</v>
      </c>
      <c r="F1298">
        <f t="shared" ca="1" si="105"/>
        <v>0</v>
      </c>
    </row>
    <row r="1299" spans="1:6">
      <c r="A1299" s="3" t="str">
        <f t="shared" ca="1" si="101"/>
        <v/>
      </c>
      <c r="B1299" s="2" t="str">
        <f t="shared" ca="1" si="102"/>
        <v/>
      </c>
      <c r="C1299" s="2" t="str">
        <f ca="1">IF(E1298="continue",SUM(B$8:B1299),"")</f>
        <v/>
      </c>
      <c r="D1299" s="1" t="str">
        <f t="shared" ca="1" si="103"/>
        <v/>
      </c>
      <c r="E1299" s="13" t="str">
        <f t="shared" ca="1" si="104"/>
        <v>No ruin</v>
      </c>
      <c r="F1299">
        <f t="shared" ca="1" si="105"/>
        <v>0</v>
      </c>
    </row>
    <row r="1300" spans="1:6">
      <c r="A1300" s="3" t="str">
        <f t="shared" ca="1" si="101"/>
        <v/>
      </c>
      <c r="B1300" s="2" t="str">
        <f t="shared" ca="1" si="102"/>
        <v/>
      </c>
      <c r="C1300" s="2" t="str">
        <f ca="1">IF(E1299="continue",SUM(B$8:B1300),"")</f>
        <v/>
      </c>
      <c r="D1300" s="1" t="str">
        <f t="shared" ca="1" si="103"/>
        <v/>
      </c>
      <c r="E1300" s="13" t="str">
        <f t="shared" ca="1" si="104"/>
        <v>No ruin</v>
      </c>
      <c r="F1300">
        <f t="shared" ca="1" si="105"/>
        <v>0</v>
      </c>
    </row>
    <row r="1301" spans="1:6">
      <c r="A1301" s="3" t="str">
        <f t="shared" ca="1" si="101"/>
        <v/>
      </c>
      <c r="B1301" s="2" t="str">
        <f t="shared" ca="1" si="102"/>
        <v/>
      </c>
      <c r="C1301" s="2" t="str">
        <f ca="1">IF(E1300="continue",SUM(B$8:B1301),"")</f>
        <v/>
      </c>
      <c r="D1301" s="1" t="str">
        <f t="shared" ca="1" si="103"/>
        <v/>
      </c>
      <c r="E1301" s="13" t="str">
        <f t="shared" ca="1" si="104"/>
        <v>No ruin</v>
      </c>
      <c r="F1301">
        <f t="shared" ca="1" si="105"/>
        <v>0</v>
      </c>
    </row>
    <row r="1302" spans="1:6">
      <c r="A1302" s="3" t="str">
        <f t="shared" ca="1" si="101"/>
        <v/>
      </c>
      <c r="B1302" s="2" t="str">
        <f t="shared" ca="1" si="102"/>
        <v/>
      </c>
      <c r="C1302" s="2" t="str">
        <f ca="1">IF(E1301="continue",SUM(B$8:B1302),"")</f>
        <v/>
      </c>
      <c r="D1302" s="1" t="str">
        <f t="shared" ca="1" si="103"/>
        <v/>
      </c>
      <c r="E1302" s="13" t="str">
        <f t="shared" ca="1" si="104"/>
        <v>No ruin</v>
      </c>
      <c r="F1302">
        <f t="shared" ca="1" si="105"/>
        <v>0</v>
      </c>
    </row>
    <row r="1303" spans="1:6">
      <c r="A1303" s="3" t="str">
        <f t="shared" ca="1" si="101"/>
        <v/>
      </c>
      <c r="B1303" s="2" t="str">
        <f t="shared" ca="1" si="102"/>
        <v/>
      </c>
      <c r="C1303" s="2" t="str">
        <f ca="1">IF(E1302="continue",SUM(B$8:B1303),"")</f>
        <v/>
      </c>
      <c r="D1303" s="1" t="str">
        <f t="shared" ca="1" si="103"/>
        <v/>
      </c>
      <c r="E1303" s="13" t="str">
        <f t="shared" ca="1" si="104"/>
        <v>No ruin</v>
      </c>
      <c r="F1303">
        <f t="shared" ca="1" si="105"/>
        <v>0</v>
      </c>
    </row>
    <row r="1304" spans="1:6">
      <c r="A1304" s="3" t="str">
        <f t="shared" ca="1" si="101"/>
        <v/>
      </c>
      <c r="B1304" s="2" t="str">
        <f t="shared" ca="1" si="102"/>
        <v/>
      </c>
      <c r="C1304" s="2" t="str">
        <f ca="1">IF(E1303="continue",SUM(B$8:B1304),"")</f>
        <v/>
      </c>
      <c r="D1304" s="1" t="str">
        <f t="shared" ca="1" si="103"/>
        <v/>
      </c>
      <c r="E1304" s="13" t="str">
        <f t="shared" ca="1" si="104"/>
        <v>No ruin</v>
      </c>
      <c r="F1304">
        <f t="shared" ca="1" si="105"/>
        <v>0</v>
      </c>
    </row>
    <row r="1305" spans="1:6">
      <c r="A1305" s="3" t="str">
        <f t="shared" ca="1" si="101"/>
        <v/>
      </c>
      <c r="B1305" s="2" t="str">
        <f t="shared" ca="1" si="102"/>
        <v/>
      </c>
      <c r="C1305" s="2" t="str">
        <f ca="1">IF(E1304="continue",SUM(B$8:B1305),"")</f>
        <v/>
      </c>
      <c r="D1305" s="1" t="str">
        <f t="shared" ca="1" si="103"/>
        <v/>
      </c>
      <c r="E1305" s="13" t="str">
        <f t="shared" ca="1" si="104"/>
        <v>No ruin</v>
      </c>
      <c r="F1305">
        <f t="shared" ca="1" si="105"/>
        <v>0</v>
      </c>
    </row>
    <row r="1306" spans="1:6">
      <c r="A1306" s="3" t="str">
        <f t="shared" ca="1" si="101"/>
        <v/>
      </c>
      <c r="B1306" s="2" t="str">
        <f t="shared" ca="1" si="102"/>
        <v/>
      </c>
      <c r="C1306" s="2" t="str">
        <f ca="1">IF(E1305="continue",SUM(B$8:B1306),"")</f>
        <v/>
      </c>
      <c r="D1306" s="1" t="str">
        <f t="shared" ca="1" si="103"/>
        <v/>
      </c>
      <c r="E1306" s="13" t="str">
        <f t="shared" ca="1" si="104"/>
        <v>No ruin</v>
      </c>
      <c r="F1306">
        <f t="shared" ca="1" si="105"/>
        <v>0</v>
      </c>
    </row>
    <row r="1307" spans="1:6">
      <c r="A1307" s="3" t="str">
        <f t="shared" ca="1" si="101"/>
        <v/>
      </c>
      <c r="B1307" s="2" t="str">
        <f t="shared" ca="1" si="102"/>
        <v/>
      </c>
      <c r="C1307" s="2" t="str">
        <f ca="1">IF(E1306="continue",SUM(B$8:B1307),"")</f>
        <v/>
      </c>
      <c r="D1307" s="1" t="str">
        <f t="shared" ca="1" si="103"/>
        <v/>
      </c>
      <c r="E1307" s="13" t="str">
        <f t="shared" ca="1" si="104"/>
        <v>No ruin</v>
      </c>
      <c r="F1307">
        <f t="shared" ca="1" si="105"/>
        <v>0</v>
      </c>
    </row>
    <row r="1308" spans="1:6">
      <c r="A1308" s="3" t="str">
        <f t="shared" ref="A1308:A1371" ca="1" si="106">IF(E1307="continue",-LN(1-RAND())*O$3+A1307,"")</f>
        <v/>
      </c>
      <c r="B1308" s="2" t="str">
        <f t="shared" ref="B1308:B1371" ca="1" si="107">IF(E1307="continue",-LN(1-RAND())*M$3,"")</f>
        <v/>
      </c>
      <c r="C1308" s="2" t="str">
        <f ca="1">IF(E1307="continue",SUM(B$8:B1308),"")</f>
        <v/>
      </c>
      <c r="D1308" s="1" t="str">
        <f t="shared" ref="D1308:D1371" ca="1" si="108">IF(E1307="continue",(1+J$1)*(1/O$3)*M$3*A1308,"")</f>
        <v/>
      </c>
      <c r="E1308" s="13" t="str">
        <f t="shared" ref="E1308:E1371" ca="1" si="109">IF(A1308&gt;G$1,"No ruin",IF(AND(A1308&lt;=G$1,C1308&gt;J$4+D1308),"RUIN","continue"))</f>
        <v>No ruin</v>
      </c>
      <c r="F1308">
        <f t="shared" ca="1" si="105"/>
        <v>0</v>
      </c>
    </row>
    <row r="1309" spans="1:6">
      <c r="A1309" s="3" t="str">
        <f t="shared" ca="1" si="106"/>
        <v/>
      </c>
      <c r="B1309" s="2" t="str">
        <f t="shared" ca="1" si="107"/>
        <v/>
      </c>
      <c r="C1309" s="2" t="str">
        <f ca="1">IF(E1308="continue",SUM(B$8:B1309),"")</f>
        <v/>
      </c>
      <c r="D1309" s="1" t="str">
        <f t="shared" ca="1" si="108"/>
        <v/>
      </c>
      <c r="E1309" s="13" t="str">
        <f t="shared" ca="1" si="109"/>
        <v>No ruin</v>
      </c>
      <c r="F1309">
        <f t="shared" ca="1" si="105"/>
        <v>0</v>
      </c>
    </row>
    <row r="1310" spans="1:6">
      <c r="A1310" s="3" t="str">
        <f t="shared" ca="1" si="106"/>
        <v/>
      </c>
      <c r="B1310" s="2" t="str">
        <f t="shared" ca="1" si="107"/>
        <v/>
      </c>
      <c r="C1310" s="2" t="str">
        <f ca="1">IF(E1309="continue",SUM(B$8:B1310),"")</f>
        <v/>
      </c>
      <c r="D1310" s="1" t="str">
        <f t="shared" ca="1" si="108"/>
        <v/>
      </c>
      <c r="E1310" s="13" t="str">
        <f t="shared" ca="1" si="109"/>
        <v>No ruin</v>
      </c>
      <c r="F1310">
        <f t="shared" ca="1" si="105"/>
        <v>0</v>
      </c>
    </row>
    <row r="1311" spans="1:6">
      <c r="A1311" s="3" t="str">
        <f t="shared" ca="1" si="106"/>
        <v/>
      </c>
      <c r="B1311" s="2" t="str">
        <f t="shared" ca="1" si="107"/>
        <v/>
      </c>
      <c r="C1311" s="2" t="str">
        <f ca="1">IF(E1310="continue",SUM(B$8:B1311),"")</f>
        <v/>
      </c>
      <c r="D1311" s="1" t="str">
        <f t="shared" ca="1" si="108"/>
        <v/>
      </c>
      <c r="E1311" s="13" t="str">
        <f t="shared" ca="1" si="109"/>
        <v>No ruin</v>
      </c>
      <c r="F1311">
        <f t="shared" ca="1" si="105"/>
        <v>0</v>
      </c>
    </row>
    <row r="1312" spans="1:6">
      <c r="A1312" s="3" t="str">
        <f t="shared" ca="1" si="106"/>
        <v/>
      </c>
      <c r="B1312" s="2" t="str">
        <f t="shared" ca="1" si="107"/>
        <v/>
      </c>
      <c r="C1312" s="2" t="str">
        <f ca="1">IF(E1311="continue",SUM(B$8:B1312),"")</f>
        <v/>
      </c>
      <c r="D1312" s="1" t="str">
        <f t="shared" ca="1" si="108"/>
        <v/>
      </c>
      <c r="E1312" s="13" t="str">
        <f t="shared" ca="1" si="109"/>
        <v>No ruin</v>
      </c>
      <c r="F1312">
        <f t="shared" ca="1" si="105"/>
        <v>0</v>
      </c>
    </row>
    <row r="1313" spans="1:6">
      <c r="A1313" s="3" t="str">
        <f t="shared" ca="1" si="106"/>
        <v/>
      </c>
      <c r="B1313" s="2" t="str">
        <f t="shared" ca="1" si="107"/>
        <v/>
      </c>
      <c r="C1313" s="2" t="str">
        <f ca="1">IF(E1312="continue",SUM(B$8:B1313),"")</f>
        <v/>
      </c>
      <c r="D1313" s="1" t="str">
        <f t="shared" ca="1" si="108"/>
        <v/>
      </c>
      <c r="E1313" s="13" t="str">
        <f t="shared" ca="1" si="109"/>
        <v>No ruin</v>
      </c>
      <c r="F1313">
        <f t="shared" ca="1" si="105"/>
        <v>0</v>
      </c>
    </row>
    <row r="1314" spans="1:6">
      <c r="A1314" s="3" t="str">
        <f t="shared" ca="1" si="106"/>
        <v/>
      </c>
      <c r="B1314" s="2" t="str">
        <f t="shared" ca="1" si="107"/>
        <v/>
      </c>
      <c r="C1314" s="2" t="str">
        <f ca="1">IF(E1313="continue",SUM(B$8:B1314),"")</f>
        <v/>
      </c>
      <c r="D1314" s="1" t="str">
        <f t="shared" ca="1" si="108"/>
        <v/>
      </c>
      <c r="E1314" s="13" t="str">
        <f t="shared" ca="1" si="109"/>
        <v>No ruin</v>
      </c>
      <c r="F1314">
        <f t="shared" ca="1" si="105"/>
        <v>0</v>
      </c>
    </row>
    <row r="1315" spans="1:6">
      <c r="A1315" s="3" t="str">
        <f t="shared" ca="1" si="106"/>
        <v/>
      </c>
      <c r="B1315" s="2" t="str">
        <f t="shared" ca="1" si="107"/>
        <v/>
      </c>
      <c r="C1315" s="2" t="str">
        <f ca="1">IF(E1314="continue",SUM(B$8:B1315),"")</f>
        <v/>
      </c>
      <c r="D1315" s="1" t="str">
        <f t="shared" ca="1" si="108"/>
        <v/>
      </c>
      <c r="E1315" s="13" t="str">
        <f t="shared" ca="1" si="109"/>
        <v>No ruin</v>
      </c>
      <c r="F1315">
        <f t="shared" ca="1" si="105"/>
        <v>0</v>
      </c>
    </row>
    <row r="1316" spans="1:6">
      <c r="A1316" s="3" t="str">
        <f t="shared" ca="1" si="106"/>
        <v/>
      </c>
      <c r="B1316" s="2" t="str">
        <f t="shared" ca="1" si="107"/>
        <v/>
      </c>
      <c r="C1316" s="2" t="str">
        <f ca="1">IF(E1315="continue",SUM(B$8:B1316),"")</f>
        <v/>
      </c>
      <c r="D1316" s="1" t="str">
        <f t="shared" ca="1" si="108"/>
        <v/>
      </c>
      <c r="E1316" s="13" t="str">
        <f t="shared" ca="1" si="109"/>
        <v>No ruin</v>
      </c>
      <c r="F1316">
        <f t="shared" ca="1" si="105"/>
        <v>0</v>
      </c>
    </row>
    <row r="1317" spans="1:6">
      <c r="A1317" s="3" t="str">
        <f t="shared" ca="1" si="106"/>
        <v/>
      </c>
      <c r="B1317" s="2" t="str">
        <f t="shared" ca="1" si="107"/>
        <v/>
      </c>
      <c r="C1317" s="2" t="str">
        <f ca="1">IF(E1316="continue",SUM(B$8:B1317),"")</f>
        <v/>
      </c>
      <c r="D1317" s="1" t="str">
        <f t="shared" ca="1" si="108"/>
        <v/>
      </c>
      <c r="E1317" s="13" t="str">
        <f t="shared" ca="1" si="109"/>
        <v>No ruin</v>
      </c>
      <c r="F1317">
        <f t="shared" ca="1" si="105"/>
        <v>0</v>
      </c>
    </row>
    <row r="1318" spans="1:6">
      <c r="A1318" s="3" t="str">
        <f t="shared" ca="1" si="106"/>
        <v/>
      </c>
      <c r="B1318" s="2" t="str">
        <f t="shared" ca="1" si="107"/>
        <v/>
      </c>
      <c r="C1318" s="2" t="str">
        <f ca="1">IF(E1317="continue",SUM(B$8:B1318),"")</f>
        <v/>
      </c>
      <c r="D1318" s="1" t="str">
        <f t="shared" ca="1" si="108"/>
        <v/>
      </c>
      <c r="E1318" s="13" t="str">
        <f t="shared" ca="1" si="109"/>
        <v>No ruin</v>
      </c>
      <c r="F1318">
        <f t="shared" ca="1" si="105"/>
        <v>0</v>
      </c>
    </row>
    <row r="1319" spans="1:6">
      <c r="A1319" s="3" t="str">
        <f t="shared" ca="1" si="106"/>
        <v/>
      </c>
      <c r="B1319" s="2" t="str">
        <f t="shared" ca="1" si="107"/>
        <v/>
      </c>
      <c r="C1319" s="2" t="str">
        <f ca="1">IF(E1318="continue",SUM(B$8:B1319),"")</f>
        <v/>
      </c>
      <c r="D1319" s="1" t="str">
        <f t="shared" ca="1" si="108"/>
        <v/>
      </c>
      <c r="E1319" s="13" t="str">
        <f t="shared" ca="1" si="109"/>
        <v>No ruin</v>
      </c>
      <c r="F1319">
        <f t="shared" ca="1" si="105"/>
        <v>0</v>
      </c>
    </row>
    <row r="1320" spans="1:6">
      <c r="A1320" s="3" t="str">
        <f t="shared" ca="1" si="106"/>
        <v/>
      </c>
      <c r="B1320" s="2" t="str">
        <f t="shared" ca="1" si="107"/>
        <v/>
      </c>
      <c r="C1320" s="2" t="str">
        <f ca="1">IF(E1319="continue",SUM(B$8:B1320),"")</f>
        <v/>
      </c>
      <c r="D1320" s="1" t="str">
        <f t="shared" ca="1" si="108"/>
        <v/>
      </c>
      <c r="E1320" s="13" t="str">
        <f t="shared" ca="1" si="109"/>
        <v>No ruin</v>
      </c>
      <c r="F1320">
        <f t="shared" ca="1" si="105"/>
        <v>0</v>
      </c>
    </row>
    <row r="1321" spans="1:6">
      <c r="A1321" s="3" t="str">
        <f t="shared" ca="1" si="106"/>
        <v/>
      </c>
      <c r="B1321" s="2" t="str">
        <f t="shared" ca="1" si="107"/>
        <v/>
      </c>
      <c r="C1321" s="2" t="str">
        <f ca="1">IF(E1320="continue",SUM(B$8:B1321),"")</f>
        <v/>
      </c>
      <c r="D1321" s="1" t="str">
        <f t="shared" ca="1" si="108"/>
        <v/>
      </c>
      <c r="E1321" s="13" t="str">
        <f t="shared" ca="1" si="109"/>
        <v>No ruin</v>
      </c>
      <c r="F1321">
        <f t="shared" ca="1" si="105"/>
        <v>0</v>
      </c>
    </row>
    <row r="1322" spans="1:6">
      <c r="A1322" s="3" t="str">
        <f t="shared" ca="1" si="106"/>
        <v/>
      </c>
      <c r="B1322" s="2" t="str">
        <f t="shared" ca="1" si="107"/>
        <v/>
      </c>
      <c r="C1322" s="2" t="str">
        <f ca="1">IF(E1321="continue",SUM(B$8:B1322),"")</f>
        <v/>
      </c>
      <c r="D1322" s="1" t="str">
        <f t="shared" ca="1" si="108"/>
        <v/>
      </c>
      <c r="E1322" s="13" t="str">
        <f t="shared" ca="1" si="109"/>
        <v>No ruin</v>
      </c>
      <c r="F1322">
        <f t="shared" ca="1" si="105"/>
        <v>0</v>
      </c>
    </row>
    <row r="1323" spans="1:6">
      <c r="A1323" s="3" t="str">
        <f t="shared" ca="1" si="106"/>
        <v/>
      </c>
      <c r="B1323" s="2" t="str">
        <f t="shared" ca="1" si="107"/>
        <v/>
      </c>
      <c r="C1323" s="2" t="str">
        <f ca="1">IF(E1322="continue",SUM(B$8:B1323),"")</f>
        <v/>
      </c>
      <c r="D1323" s="1" t="str">
        <f t="shared" ca="1" si="108"/>
        <v/>
      </c>
      <c r="E1323" s="13" t="str">
        <f t="shared" ca="1" si="109"/>
        <v>No ruin</v>
      </c>
      <c r="F1323">
        <f t="shared" ca="1" si="105"/>
        <v>0</v>
      </c>
    </row>
    <row r="1324" spans="1:6">
      <c r="A1324" s="3" t="str">
        <f t="shared" ca="1" si="106"/>
        <v/>
      </c>
      <c r="B1324" s="2" t="str">
        <f t="shared" ca="1" si="107"/>
        <v/>
      </c>
      <c r="C1324" s="2" t="str">
        <f ca="1">IF(E1323="continue",SUM(B$8:B1324),"")</f>
        <v/>
      </c>
      <c r="D1324" s="1" t="str">
        <f t="shared" ca="1" si="108"/>
        <v/>
      </c>
      <c r="E1324" s="13" t="str">
        <f t="shared" ca="1" si="109"/>
        <v>No ruin</v>
      </c>
      <c r="F1324">
        <f t="shared" ca="1" si="105"/>
        <v>0</v>
      </c>
    </row>
    <row r="1325" spans="1:6">
      <c r="A1325" s="3" t="str">
        <f t="shared" ca="1" si="106"/>
        <v/>
      </c>
      <c r="B1325" s="2" t="str">
        <f t="shared" ca="1" si="107"/>
        <v/>
      </c>
      <c r="C1325" s="2" t="str">
        <f ca="1">IF(E1324="continue",SUM(B$8:B1325),"")</f>
        <v/>
      </c>
      <c r="D1325" s="1" t="str">
        <f t="shared" ca="1" si="108"/>
        <v/>
      </c>
      <c r="E1325" s="13" t="str">
        <f t="shared" ca="1" si="109"/>
        <v>No ruin</v>
      </c>
      <c r="F1325">
        <f t="shared" ca="1" si="105"/>
        <v>0</v>
      </c>
    </row>
    <row r="1326" spans="1:6">
      <c r="A1326" s="3" t="str">
        <f t="shared" ca="1" si="106"/>
        <v/>
      </c>
      <c r="B1326" s="2" t="str">
        <f t="shared" ca="1" si="107"/>
        <v/>
      </c>
      <c r="C1326" s="2" t="str">
        <f ca="1">IF(E1325="continue",SUM(B$8:B1326),"")</f>
        <v/>
      </c>
      <c r="D1326" s="1" t="str">
        <f t="shared" ca="1" si="108"/>
        <v/>
      </c>
      <c r="E1326" s="13" t="str">
        <f t="shared" ca="1" si="109"/>
        <v>No ruin</v>
      </c>
      <c r="F1326">
        <f t="shared" ca="1" si="105"/>
        <v>0</v>
      </c>
    </row>
    <row r="1327" spans="1:6">
      <c r="A1327" s="3" t="str">
        <f t="shared" ca="1" si="106"/>
        <v/>
      </c>
      <c r="B1327" s="2" t="str">
        <f t="shared" ca="1" si="107"/>
        <v/>
      </c>
      <c r="C1327" s="2" t="str">
        <f ca="1">IF(E1326="continue",SUM(B$8:B1327),"")</f>
        <v/>
      </c>
      <c r="D1327" s="1" t="str">
        <f t="shared" ca="1" si="108"/>
        <v/>
      </c>
      <c r="E1327" s="13" t="str">
        <f t="shared" ca="1" si="109"/>
        <v>No ruin</v>
      </c>
      <c r="F1327">
        <f t="shared" ca="1" si="105"/>
        <v>0</v>
      </c>
    </row>
    <row r="1328" spans="1:6">
      <c r="A1328" s="3" t="str">
        <f t="shared" ca="1" si="106"/>
        <v/>
      </c>
      <c r="B1328" s="2" t="str">
        <f t="shared" ca="1" si="107"/>
        <v/>
      </c>
      <c r="C1328" s="2" t="str">
        <f ca="1">IF(E1327="continue",SUM(B$8:B1328),"")</f>
        <v/>
      </c>
      <c r="D1328" s="1" t="str">
        <f t="shared" ca="1" si="108"/>
        <v/>
      </c>
      <c r="E1328" s="13" t="str">
        <f t="shared" ca="1" si="109"/>
        <v>No ruin</v>
      </c>
      <c r="F1328">
        <f t="shared" ca="1" si="105"/>
        <v>0</v>
      </c>
    </row>
    <row r="1329" spans="1:6">
      <c r="A1329" s="3" t="str">
        <f t="shared" ca="1" si="106"/>
        <v/>
      </c>
      <c r="B1329" s="2" t="str">
        <f t="shared" ca="1" si="107"/>
        <v/>
      </c>
      <c r="C1329" s="2" t="str">
        <f ca="1">IF(E1328="continue",SUM(B$8:B1329),"")</f>
        <v/>
      </c>
      <c r="D1329" s="1" t="str">
        <f t="shared" ca="1" si="108"/>
        <v/>
      </c>
      <c r="E1329" s="13" t="str">
        <f t="shared" ca="1" si="109"/>
        <v>No ruin</v>
      </c>
      <c r="F1329">
        <f t="shared" ca="1" si="105"/>
        <v>0</v>
      </c>
    </row>
    <row r="1330" spans="1:6">
      <c r="A1330" s="3" t="str">
        <f t="shared" ca="1" si="106"/>
        <v/>
      </c>
      <c r="B1330" s="2" t="str">
        <f t="shared" ca="1" si="107"/>
        <v/>
      </c>
      <c r="C1330" s="2" t="str">
        <f ca="1">IF(E1329="continue",SUM(B$8:B1330),"")</f>
        <v/>
      </c>
      <c r="D1330" s="1" t="str">
        <f t="shared" ca="1" si="108"/>
        <v/>
      </c>
      <c r="E1330" s="13" t="str">
        <f t="shared" ca="1" si="109"/>
        <v>No ruin</v>
      </c>
      <c r="F1330">
        <f t="shared" ca="1" si="105"/>
        <v>0</v>
      </c>
    </row>
    <row r="1331" spans="1:6">
      <c r="A1331" s="3" t="str">
        <f t="shared" ca="1" si="106"/>
        <v/>
      </c>
      <c r="B1331" s="2" t="str">
        <f t="shared" ca="1" si="107"/>
        <v/>
      </c>
      <c r="C1331" s="2" t="str">
        <f ca="1">IF(E1330="continue",SUM(B$8:B1331),"")</f>
        <v/>
      </c>
      <c r="D1331" s="1" t="str">
        <f t="shared" ca="1" si="108"/>
        <v/>
      </c>
      <c r="E1331" s="13" t="str">
        <f t="shared" ca="1" si="109"/>
        <v>No ruin</v>
      </c>
      <c r="F1331">
        <f t="shared" ca="1" si="105"/>
        <v>0</v>
      </c>
    </row>
    <row r="1332" spans="1:6">
      <c r="A1332" s="3" t="str">
        <f t="shared" ca="1" si="106"/>
        <v/>
      </c>
      <c r="B1332" s="2" t="str">
        <f t="shared" ca="1" si="107"/>
        <v/>
      </c>
      <c r="C1332" s="2" t="str">
        <f ca="1">IF(E1331="continue",SUM(B$8:B1332),"")</f>
        <v/>
      </c>
      <c r="D1332" s="1" t="str">
        <f t="shared" ca="1" si="108"/>
        <v/>
      </c>
      <c r="E1332" s="13" t="str">
        <f t="shared" ca="1" si="109"/>
        <v>No ruin</v>
      </c>
      <c r="F1332">
        <f t="shared" ca="1" si="105"/>
        <v>0</v>
      </c>
    </row>
    <row r="1333" spans="1:6">
      <c r="A1333" s="3" t="str">
        <f t="shared" ca="1" si="106"/>
        <v/>
      </c>
      <c r="B1333" s="2" t="str">
        <f t="shared" ca="1" si="107"/>
        <v/>
      </c>
      <c r="C1333" s="2" t="str">
        <f ca="1">IF(E1332="continue",SUM(B$8:B1333),"")</f>
        <v/>
      </c>
      <c r="D1333" s="1" t="str">
        <f t="shared" ca="1" si="108"/>
        <v/>
      </c>
      <c r="E1333" s="13" t="str">
        <f t="shared" ca="1" si="109"/>
        <v>No ruin</v>
      </c>
      <c r="F1333">
        <f t="shared" ca="1" si="105"/>
        <v>0</v>
      </c>
    </row>
    <row r="1334" spans="1:6">
      <c r="A1334" s="3" t="str">
        <f t="shared" ca="1" si="106"/>
        <v/>
      </c>
      <c r="B1334" s="2" t="str">
        <f t="shared" ca="1" si="107"/>
        <v/>
      </c>
      <c r="C1334" s="2" t="str">
        <f ca="1">IF(E1333="continue",SUM(B$8:B1334),"")</f>
        <v/>
      </c>
      <c r="D1334" s="1" t="str">
        <f t="shared" ca="1" si="108"/>
        <v/>
      </c>
      <c r="E1334" s="13" t="str">
        <f t="shared" ca="1" si="109"/>
        <v>No ruin</v>
      </c>
      <c r="F1334">
        <f t="shared" ca="1" si="105"/>
        <v>0</v>
      </c>
    </row>
    <row r="1335" spans="1:6">
      <c r="A1335" s="3" t="str">
        <f t="shared" ca="1" si="106"/>
        <v/>
      </c>
      <c r="B1335" s="2" t="str">
        <f t="shared" ca="1" si="107"/>
        <v/>
      </c>
      <c r="C1335" s="2" t="str">
        <f ca="1">IF(E1334="continue",SUM(B$8:B1335),"")</f>
        <v/>
      </c>
      <c r="D1335" s="1" t="str">
        <f t="shared" ca="1" si="108"/>
        <v/>
      </c>
      <c r="E1335" s="13" t="str">
        <f t="shared" ca="1" si="109"/>
        <v>No ruin</v>
      </c>
      <c r="F1335">
        <f t="shared" ca="1" si="105"/>
        <v>0</v>
      </c>
    </row>
    <row r="1336" spans="1:6">
      <c r="A1336" s="3" t="str">
        <f t="shared" ca="1" si="106"/>
        <v/>
      </c>
      <c r="B1336" s="2" t="str">
        <f t="shared" ca="1" si="107"/>
        <v/>
      </c>
      <c r="C1336" s="2" t="str">
        <f ca="1">IF(E1335="continue",SUM(B$8:B1336),"")</f>
        <v/>
      </c>
      <c r="D1336" s="1" t="str">
        <f t="shared" ca="1" si="108"/>
        <v/>
      </c>
      <c r="E1336" s="13" t="str">
        <f t="shared" ca="1" si="109"/>
        <v>No ruin</v>
      </c>
      <c r="F1336">
        <f t="shared" ca="1" si="105"/>
        <v>0</v>
      </c>
    </row>
    <row r="1337" spans="1:6">
      <c r="A1337" s="3" t="str">
        <f t="shared" ca="1" si="106"/>
        <v/>
      </c>
      <c r="B1337" s="2" t="str">
        <f t="shared" ca="1" si="107"/>
        <v/>
      </c>
      <c r="C1337" s="2" t="str">
        <f ca="1">IF(E1336="continue",SUM(B$8:B1337),"")</f>
        <v/>
      </c>
      <c r="D1337" s="1" t="str">
        <f t="shared" ca="1" si="108"/>
        <v/>
      </c>
      <c r="E1337" s="13" t="str">
        <f t="shared" ca="1" si="109"/>
        <v>No ruin</v>
      </c>
      <c r="F1337">
        <f t="shared" ca="1" si="105"/>
        <v>0</v>
      </c>
    </row>
    <row r="1338" spans="1:6">
      <c r="A1338" s="3" t="str">
        <f t="shared" ca="1" si="106"/>
        <v/>
      </c>
      <c r="B1338" s="2" t="str">
        <f t="shared" ca="1" si="107"/>
        <v/>
      </c>
      <c r="C1338" s="2" t="str">
        <f ca="1">IF(E1337="continue",SUM(B$8:B1338),"")</f>
        <v/>
      </c>
      <c r="D1338" s="1" t="str">
        <f t="shared" ca="1" si="108"/>
        <v/>
      </c>
      <c r="E1338" s="13" t="str">
        <f t="shared" ca="1" si="109"/>
        <v>No ruin</v>
      </c>
      <c r="F1338">
        <f t="shared" ca="1" si="105"/>
        <v>0</v>
      </c>
    </row>
    <row r="1339" spans="1:6">
      <c r="A1339" s="3" t="str">
        <f t="shared" ca="1" si="106"/>
        <v/>
      </c>
      <c r="B1339" s="2" t="str">
        <f t="shared" ca="1" si="107"/>
        <v/>
      </c>
      <c r="C1339" s="2" t="str">
        <f ca="1">IF(E1338="continue",SUM(B$8:B1339),"")</f>
        <v/>
      </c>
      <c r="D1339" s="1" t="str">
        <f t="shared" ca="1" si="108"/>
        <v/>
      </c>
      <c r="E1339" s="13" t="str">
        <f t="shared" ca="1" si="109"/>
        <v>No ruin</v>
      </c>
      <c r="F1339">
        <f t="shared" ca="1" si="105"/>
        <v>0</v>
      </c>
    </row>
    <row r="1340" spans="1:6">
      <c r="A1340" s="3" t="str">
        <f t="shared" ca="1" si="106"/>
        <v/>
      </c>
      <c r="B1340" s="2" t="str">
        <f t="shared" ca="1" si="107"/>
        <v/>
      </c>
      <c r="C1340" s="2" t="str">
        <f ca="1">IF(E1339="continue",SUM(B$8:B1340),"")</f>
        <v/>
      </c>
      <c r="D1340" s="1" t="str">
        <f t="shared" ca="1" si="108"/>
        <v/>
      </c>
      <c r="E1340" s="13" t="str">
        <f t="shared" ca="1" si="109"/>
        <v>No ruin</v>
      </c>
      <c r="F1340">
        <f t="shared" ca="1" si="105"/>
        <v>0</v>
      </c>
    </row>
    <row r="1341" spans="1:6">
      <c r="A1341" s="3" t="str">
        <f t="shared" ca="1" si="106"/>
        <v/>
      </c>
      <c r="B1341" s="2" t="str">
        <f t="shared" ca="1" si="107"/>
        <v/>
      </c>
      <c r="C1341" s="2" t="str">
        <f ca="1">IF(E1340="continue",SUM(B$8:B1341),"")</f>
        <v/>
      </c>
      <c r="D1341" s="1" t="str">
        <f t="shared" ca="1" si="108"/>
        <v/>
      </c>
      <c r="E1341" s="13" t="str">
        <f t="shared" ca="1" si="109"/>
        <v>No ruin</v>
      </c>
      <c r="F1341">
        <f t="shared" ca="1" si="105"/>
        <v>0</v>
      </c>
    </row>
    <row r="1342" spans="1:6">
      <c r="A1342" s="3" t="str">
        <f t="shared" ca="1" si="106"/>
        <v/>
      </c>
      <c r="B1342" s="2" t="str">
        <f t="shared" ca="1" si="107"/>
        <v/>
      </c>
      <c r="C1342" s="2" t="str">
        <f ca="1">IF(E1341="continue",SUM(B$8:B1342),"")</f>
        <v/>
      </c>
      <c r="D1342" s="1" t="str">
        <f t="shared" ca="1" si="108"/>
        <v/>
      </c>
      <c r="E1342" s="13" t="str">
        <f t="shared" ca="1" si="109"/>
        <v>No ruin</v>
      </c>
      <c r="F1342">
        <f t="shared" ca="1" si="105"/>
        <v>0</v>
      </c>
    </row>
    <row r="1343" spans="1:6">
      <c r="A1343" s="3" t="str">
        <f t="shared" ca="1" si="106"/>
        <v/>
      </c>
      <c r="B1343" s="2" t="str">
        <f t="shared" ca="1" si="107"/>
        <v/>
      </c>
      <c r="C1343" s="2" t="str">
        <f ca="1">IF(E1342="continue",SUM(B$8:B1343),"")</f>
        <v/>
      </c>
      <c r="D1343" s="1" t="str">
        <f t="shared" ca="1" si="108"/>
        <v/>
      </c>
      <c r="E1343" s="13" t="str">
        <f t="shared" ca="1" si="109"/>
        <v>No ruin</v>
      </c>
      <c r="F1343">
        <f t="shared" ca="1" si="105"/>
        <v>0</v>
      </c>
    </row>
    <row r="1344" spans="1:6">
      <c r="A1344" s="3" t="str">
        <f t="shared" ca="1" si="106"/>
        <v/>
      </c>
      <c r="B1344" s="2" t="str">
        <f t="shared" ca="1" si="107"/>
        <v/>
      </c>
      <c r="C1344" s="2" t="str">
        <f ca="1">IF(E1343="continue",SUM(B$8:B1344),"")</f>
        <v/>
      </c>
      <c r="D1344" s="1" t="str">
        <f t="shared" ca="1" si="108"/>
        <v/>
      </c>
      <c r="E1344" s="13" t="str">
        <f t="shared" ca="1" si="109"/>
        <v>No ruin</v>
      </c>
      <c r="F1344">
        <f t="shared" ca="1" si="105"/>
        <v>0</v>
      </c>
    </row>
    <row r="1345" spans="1:6">
      <c r="A1345" s="3" t="str">
        <f t="shared" ca="1" si="106"/>
        <v/>
      </c>
      <c r="B1345" s="2" t="str">
        <f t="shared" ca="1" si="107"/>
        <v/>
      </c>
      <c r="C1345" s="2" t="str">
        <f ca="1">IF(E1344="continue",SUM(B$8:B1345),"")</f>
        <v/>
      </c>
      <c r="D1345" s="1" t="str">
        <f t="shared" ca="1" si="108"/>
        <v/>
      </c>
      <c r="E1345" s="13" t="str">
        <f t="shared" ca="1" si="109"/>
        <v>No ruin</v>
      </c>
      <c r="F1345">
        <f t="shared" ca="1" si="105"/>
        <v>0</v>
      </c>
    </row>
    <row r="1346" spans="1:6">
      <c r="A1346" s="3" t="str">
        <f t="shared" ca="1" si="106"/>
        <v/>
      </c>
      <c r="B1346" s="2" t="str">
        <f t="shared" ca="1" si="107"/>
        <v/>
      </c>
      <c r="C1346" s="2" t="str">
        <f ca="1">IF(E1345="continue",SUM(B$8:B1346),"")</f>
        <v/>
      </c>
      <c r="D1346" s="1" t="str">
        <f t="shared" ca="1" si="108"/>
        <v/>
      </c>
      <c r="E1346" s="13" t="str">
        <f t="shared" ca="1" si="109"/>
        <v>No ruin</v>
      </c>
      <c r="F1346">
        <f t="shared" ca="1" si="105"/>
        <v>0</v>
      </c>
    </row>
    <row r="1347" spans="1:6">
      <c r="A1347" s="3" t="str">
        <f t="shared" ca="1" si="106"/>
        <v/>
      </c>
      <c r="B1347" s="2" t="str">
        <f t="shared" ca="1" si="107"/>
        <v/>
      </c>
      <c r="C1347" s="2" t="str">
        <f ca="1">IF(E1346="continue",SUM(B$8:B1347),"")</f>
        <v/>
      </c>
      <c r="D1347" s="1" t="str">
        <f t="shared" ca="1" si="108"/>
        <v/>
      </c>
      <c r="E1347" s="13" t="str">
        <f t="shared" ca="1" si="109"/>
        <v>No ruin</v>
      </c>
      <c r="F1347">
        <f t="shared" ca="1" si="105"/>
        <v>0</v>
      </c>
    </row>
    <row r="1348" spans="1:6">
      <c r="A1348" s="3" t="str">
        <f t="shared" ca="1" si="106"/>
        <v/>
      </c>
      <c r="B1348" s="2" t="str">
        <f t="shared" ca="1" si="107"/>
        <v/>
      </c>
      <c r="C1348" s="2" t="str">
        <f ca="1">IF(E1347="continue",SUM(B$8:B1348),"")</f>
        <v/>
      </c>
      <c r="D1348" s="1" t="str">
        <f t="shared" ca="1" si="108"/>
        <v/>
      </c>
      <c r="E1348" s="13" t="str">
        <f t="shared" ca="1" si="109"/>
        <v>No ruin</v>
      </c>
      <c r="F1348">
        <f t="shared" ca="1" si="105"/>
        <v>0</v>
      </c>
    </row>
    <row r="1349" spans="1:6">
      <c r="A1349" s="3" t="str">
        <f t="shared" ca="1" si="106"/>
        <v/>
      </c>
      <c r="B1349" s="2" t="str">
        <f t="shared" ca="1" si="107"/>
        <v/>
      </c>
      <c r="C1349" s="2" t="str">
        <f ca="1">IF(E1348="continue",SUM(B$8:B1349),"")</f>
        <v/>
      </c>
      <c r="D1349" s="1" t="str">
        <f t="shared" ca="1" si="108"/>
        <v/>
      </c>
      <c r="E1349" s="13" t="str">
        <f t="shared" ca="1" si="109"/>
        <v>No ruin</v>
      </c>
      <c r="F1349">
        <f t="shared" ca="1" si="105"/>
        <v>0</v>
      </c>
    </row>
    <row r="1350" spans="1:6">
      <c r="A1350" s="3" t="str">
        <f t="shared" ca="1" si="106"/>
        <v/>
      </c>
      <c r="B1350" s="2" t="str">
        <f t="shared" ca="1" si="107"/>
        <v/>
      </c>
      <c r="C1350" s="2" t="str">
        <f ca="1">IF(E1349="continue",SUM(B$8:B1350),"")</f>
        <v/>
      </c>
      <c r="D1350" s="1" t="str">
        <f t="shared" ca="1" si="108"/>
        <v/>
      </c>
      <c r="E1350" s="13" t="str">
        <f t="shared" ca="1" si="109"/>
        <v>No ruin</v>
      </c>
      <c r="F1350">
        <f t="shared" ca="1" si="105"/>
        <v>0</v>
      </c>
    </row>
    <row r="1351" spans="1:6">
      <c r="A1351" s="3" t="str">
        <f t="shared" ca="1" si="106"/>
        <v/>
      </c>
      <c r="B1351" s="2" t="str">
        <f t="shared" ca="1" si="107"/>
        <v/>
      </c>
      <c r="C1351" s="2" t="str">
        <f ca="1">IF(E1350="continue",SUM(B$8:B1351),"")</f>
        <v/>
      </c>
      <c r="D1351" s="1" t="str">
        <f t="shared" ca="1" si="108"/>
        <v/>
      </c>
      <c r="E1351" s="13" t="str">
        <f t="shared" ca="1" si="109"/>
        <v>No ruin</v>
      </c>
      <c r="F1351">
        <f t="shared" ca="1" si="105"/>
        <v>0</v>
      </c>
    </row>
    <row r="1352" spans="1:6">
      <c r="A1352" s="3" t="str">
        <f t="shared" ca="1" si="106"/>
        <v/>
      </c>
      <c r="B1352" s="2" t="str">
        <f t="shared" ca="1" si="107"/>
        <v/>
      </c>
      <c r="C1352" s="2" t="str">
        <f ca="1">IF(E1351="continue",SUM(B$8:B1352),"")</f>
        <v/>
      </c>
      <c r="D1352" s="1" t="str">
        <f t="shared" ca="1" si="108"/>
        <v/>
      </c>
      <c r="E1352" s="13" t="str">
        <f t="shared" ca="1" si="109"/>
        <v>No ruin</v>
      </c>
      <c r="F1352">
        <f t="shared" ca="1" si="105"/>
        <v>0</v>
      </c>
    </row>
    <row r="1353" spans="1:6">
      <c r="A1353" s="3" t="str">
        <f t="shared" ca="1" si="106"/>
        <v/>
      </c>
      <c r="B1353" s="2" t="str">
        <f t="shared" ca="1" si="107"/>
        <v/>
      </c>
      <c r="C1353" s="2" t="str">
        <f ca="1">IF(E1352="continue",SUM(B$8:B1353),"")</f>
        <v/>
      </c>
      <c r="D1353" s="1" t="str">
        <f t="shared" ca="1" si="108"/>
        <v/>
      </c>
      <c r="E1353" s="13" t="str">
        <f t="shared" ca="1" si="109"/>
        <v>No ruin</v>
      </c>
      <c r="F1353">
        <f t="shared" ca="1" si="105"/>
        <v>0</v>
      </c>
    </row>
    <row r="1354" spans="1:6">
      <c r="A1354" s="3" t="str">
        <f t="shared" ca="1" si="106"/>
        <v/>
      </c>
      <c r="B1354" s="2" t="str">
        <f t="shared" ca="1" si="107"/>
        <v/>
      </c>
      <c r="C1354" s="2" t="str">
        <f ca="1">IF(E1353="continue",SUM(B$8:B1354),"")</f>
        <v/>
      </c>
      <c r="D1354" s="1" t="str">
        <f t="shared" ca="1" si="108"/>
        <v/>
      </c>
      <c r="E1354" s="13" t="str">
        <f t="shared" ca="1" si="109"/>
        <v>No ruin</v>
      </c>
      <c r="F1354">
        <f t="shared" ref="F1354:F1417" ca="1" si="110">IF(E1354="RUIN",1,0)</f>
        <v>0</v>
      </c>
    </row>
    <row r="1355" spans="1:6">
      <c r="A1355" s="3" t="str">
        <f t="shared" ca="1" si="106"/>
        <v/>
      </c>
      <c r="B1355" s="2" t="str">
        <f t="shared" ca="1" si="107"/>
        <v/>
      </c>
      <c r="C1355" s="2" t="str">
        <f ca="1">IF(E1354="continue",SUM(B$8:B1355),"")</f>
        <v/>
      </c>
      <c r="D1355" s="1" t="str">
        <f t="shared" ca="1" si="108"/>
        <v/>
      </c>
      <c r="E1355" s="13" t="str">
        <f t="shared" ca="1" si="109"/>
        <v>No ruin</v>
      </c>
      <c r="F1355">
        <f t="shared" ca="1" si="110"/>
        <v>0</v>
      </c>
    </row>
    <row r="1356" spans="1:6">
      <c r="A1356" s="3" t="str">
        <f t="shared" ca="1" si="106"/>
        <v/>
      </c>
      <c r="B1356" s="2" t="str">
        <f t="shared" ca="1" si="107"/>
        <v/>
      </c>
      <c r="C1356" s="2" t="str">
        <f ca="1">IF(E1355="continue",SUM(B$8:B1356),"")</f>
        <v/>
      </c>
      <c r="D1356" s="1" t="str">
        <f t="shared" ca="1" si="108"/>
        <v/>
      </c>
      <c r="E1356" s="13" t="str">
        <f t="shared" ca="1" si="109"/>
        <v>No ruin</v>
      </c>
      <c r="F1356">
        <f t="shared" ca="1" si="110"/>
        <v>0</v>
      </c>
    </row>
    <row r="1357" spans="1:6">
      <c r="A1357" s="3" t="str">
        <f t="shared" ca="1" si="106"/>
        <v/>
      </c>
      <c r="B1357" s="2" t="str">
        <f t="shared" ca="1" si="107"/>
        <v/>
      </c>
      <c r="C1357" s="2" t="str">
        <f ca="1">IF(E1356="continue",SUM(B$8:B1357),"")</f>
        <v/>
      </c>
      <c r="D1357" s="1" t="str">
        <f t="shared" ca="1" si="108"/>
        <v/>
      </c>
      <c r="E1357" s="13" t="str">
        <f t="shared" ca="1" si="109"/>
        <v>No ruin</v>
      </c>
      <c r="F1357">
        <f t="shared" ca="1" si="110"/>
        <v>0</v>
      </c>
    </row>
    <row r="1358" spans="1:6">
      <c r="A1358" s="3" t="str">
        <f t="shared" ca="1" si="106"/>
        <v/>
      </c>
      <c r="B1358" s="2" t="str">
        <f t="shared" ca="1" si="107"/>
        <v/>
      </c>
      <c r="C1358" s="2" t="str">
        <f ca="1">IF(E1357="continue",SUM(B$8:B1358),"")</f>
        <v/>
      </c>
      <c r="D1358" s="1" t="str">
        <f t="shared" ca="1" si="108"/>
        <v/>
      </c>
      <c r="E1358" s="13" t="str">
        <f t="shared" ca="1" si="109"/>
        <v>No ruin</v>
      </c>
      <c r="F1358">
        <f t="shared" ca="1" si="110"/>
        <v>0</v>
      </c>
    </row>
    <row r="1359" spans="1:6">
      <c r="A1359" s="3" t="str">
        <f t="shared" ca="1" si="106"/>
        <v/>
      </c>
      <c r="B1359" s="2" t="str">
        <f t="shared" ca="1" si="107"/>
        <v/>
      </c>
      <c r="C1359" s="2" t="str">
        <f ca="1">IF(E1358="continue",SUM(B$8:B1359),"")</f>
        <v/>
      </c>
      <c r="D1359" s="1" t="str">
        <f t="shared" ca="1" si="108"/>
        <v/>
      </c>
      <c r="E1359" s="13" t="str">
        <f t="shared" ca="1" si="109"/>
        <v>No ruin</v>
      </c>
      <c r="F1359">
        <f t="shared" ca="1" si="110"/>
        <v>0</v>
      </c>
    </row>
    <row r="1360" spans="1:6">
      <c r="A1360" s="3" t="str">
        <f t="shared" ca="1" si="106"/>
        <v/>
      </c>
      <c r="B1360" s="2" t="str">
        <f t="shared" ca="1" si="107"/>
        <v/>
      </c>
      <c r="C1360" s="2" t="str">
        <f ca="1">IF(E1359="continue",SUM(B$8:B1360),"")</f>
        <v/>
      </c>
      <c r="D1360" s="1" t="str">
        <f t="shared" ca="1" si="108"/>
        <v/>
      </c>
      <c r="E1360" s="13" t="str">
        <f t="shared" ca="1" si="109"/>
        <v>No ruin</v>
      </c>
      <c r="F1360">
        <f t="shared" ca="1" si="110"/>
        <v>0</v>
      </c>
    </row>
    <row r="1361" spans="1:6">
      <c r="A1361" s="3" t="str">
        <f t="shared" ca="1" si="106"/>
        <v/>
      </c>
      <c r="B1361" s="2" t="str">
        <f t="shared" ca="1" si="107"/>
        <v/>
      </c>
      <c r="C1361" s="2" t="str">
        <f ca="1">IF(E1360="continue",SUM(B$8:B1361),"")</f>
        <v/>
      </c>
      <c r="D1361" s="1" t="str">
        <f t="shared" ca="1" si="108"/>
        <v/>
      </c>
      <c r="E1361" s="13" t="str">
        <f t="shared" ca="1" si="109"/>
        <v>No ruin</v>
      </c>
      <c r="F1361">
        <f t="shared" ca="1" si="110"/>
        <v>0</v>
      </c>
    </row>
    <row r="1362" spans="1:6">
      <c r="A1362" s="3" t="str">
        <f t="shared" ca="1" si="106"/>
        <v/>
      </c>
      <c r="B1362" s="2" t="str">
        <f t="shared" ca="1" si="107"/>
        <v/>
      </c>
      <c r="C1362" s="2" t="str">
        <f ca="1">IF(E1361="continue",SUM(B$8:B1362),"")</f>
        <v/>
      </c>
      <c r="D1362" s="1" t="str">
        <f t="shared" ca="1" si="108"/>
        <v/>
      </c>
      <c r="E1362" s="13" t="str">
        <f t="shared" ca="1" si="109"/>
        <v>No ruin</v>
      </c>
      <c r="F1362">
        <f t="shared" ca="1" si="110"/>
        <v>0</v>
      </c>
    </row>
    <row r="1363" spans="1:6">
      <c r="A1363" s="3" t="str">
        <f t="shared" ca="1" si="106"/>
        <v/>
      </c>
      <c r="B1363" s="2" t="str">
        <f t="shared" ca="1" si="107"/>
        <v/>
      </c>
      <c r="C1363" s="2" t="str">
        <f ca="1">IF(E1362="continue",SUM(B$8:B1363),"")</f>
        <v/>
      </c>
      <c r="D1363" s="1" t="str">
        <f t="shared" ca="1" si="108"/>
        <v/>
      </c>
      <c r="E1363" s="13" t="str">
        <f t="shared" ca="1" si="109"/>
        <v>No ruin</v>
      </c>
      <c r="F1363">
        <f t="shared" ca="1" si="110"/>
        <v>0</v>
      </c>
    </row>
    <row r="1364" spans="1:6">
      <c r="A1364" s="3" t="str">
        <f t="shared" ca="1" si="106"/>
        <v/>
      </c>
      <c r="B1364" s="2" t="str">
        <f t="shared" ca="1" si="107"/>
        <v/>
      </c>
      <c r="C1364" s="2" t="str">
        <f ca="1">IF(E1363="continue",SUM(B$8:B1364),"")</f>
        <v/>
      </c>
      <c r="D1364" s="1" t="str">
        <f t="shared" ca="1" si="108"/>
        <v/>
      </c>
      <c r="E1364" s="13" t="str">
        <f t="shared" ca="1" si="109"/>
        <v>No ruin</v>
      </c>
      <c r="F1364">
        <f t="shared" ca="1" si="110"/>
        <v>0</v>
      </c>
    </row>
    <row r="1365" spans="1:6">
      <c r="A1365" s="3" t="str">
        <f t="shared" ca="1" si="106"/>
        <v/>
      </c>
      <c r="B1365" s="2" t="str">
        <f t="shared" ca="1" si="107"/>
        <v/>
      </c>
      <c r="C1365" s="2" t="str">
        <f ca="1">IF(E1364="continue",SUM(B$8:B1365),"")</f>
        <v/>
      </c>
      <c r="D1365" s="1" t="str">
        <f t="shared" ca="1" si="108"/>
        <v/>
      </c>
      <c r="E1365" s="13" t="str">
        <f t="shared" ca="1" si="109"/>
        <v>No ruin</v>
      </c>
      <c r="F1365">
        <f t="shared" ca="1" si="110"/>
        <v>0</v>
      </c>
    </row>
    <row r="1366" spans="1:6">
      <c r="A1366" s="3" t="str">
        <f t="shared" ca="1" si="106"/>
        <v/>
      </c>
      <c r="B1366" s="2" t="str">
        <f t="shared" ca="1" si="107"/>
        <v/>
      </c>
      <c r="C1366" s="2" t="str">
        <f ca="1">IF(E1365="continue",SUM(B$8:B1366),"")</f>
        <v/>
      </c>
      <c r="D1366" s="1" t="str">
        <f t="shared" ca="1" si="108"/>
        <v/>
      </c>
      <c r="E1366" s="13" t="str">
        <f t="shared" ca="1" si="109"/>
        <v>No ruin</v>
      </c>
      <c r="F1366">
        <f t="shared" ca="1" si="110"/>
        <v>0</v>
      </c>
    </row>
    <row r="1367" spans="1:6">
      <c r="A1367" s="3" t="str">
        <f t="shared" ca="1" si="106"/>
        <v/>
      </c>
      <c r="B1367" s="2" t="str">
        <f t="shared" ca="1" si="107"/>
        <v/>
      </c>
      <c r="C1367" s="2" t="str">
        <f ca="1">IF(E1366="continue",SUM(B$8:B1367),"")</f>
        <v/>
      </c>
      <c r="D1367" s="1" t="str">
        <f t="shared" ca="1" si="108"/>
        <v/>
      </c>
      <c r="E1367" s="13" t="str">
        <f t="shared" ca="1" si="109"/>
        <v>No ruin</v>
      </c>
      <c r="F1367">
        <f t="shared" ca="1" si="110"/>
        <v>0</v>
      </c>
    </row>
    <row r="1368" spans="1:6">
      <c r="A1368" s="3" t="str">
        <f t="shared" ca="1" si="106"/>
        <v/>
      </c>
      <c r="B1368" s="2" t="str">
        <f t="shared" ca="1" si="107"/>
        <v/>
      </c>
      <c r="C1368" s="2" t="str">
        <f ca="1">IF(E1367="continue",SUM(B$8:B1368),"")</f>
        <v/>
      </c>
      <c r="D1368" s="1" t="str">
        <f t="shared" ca="1" si="108"/>
        <v/>
      </c>
      <c r="E1368" s="13" t="str">
        <f t="shared" ca="1" si="109"/>
        <v>No ruin</v>
      </c>
      <c r="F1368">
        <f t="shared" ca="1" si="110"/>
        <v>0</v>
      </c>
    </row>
    <row r="1369" spans="1:6">
      <c r="A1369" s="3" t="str">
        <f t="shared" ca="1" si="106"/>
        <v/>
      </c>
      <c r="B1369" s="2" t="str">
        <f t="shared" ca="1" si="107"/>
        <v/>
      </c>
      <c r="C1369" s="2" t="str">
        <f ca="1">IF(E1368="continue",SUM(B$8:B1369),"")</f>
        <v/>
      </c>
      <c r="D1369" s="1" t="str">
        <f t="shared" ca="1" si="108"/>
        <v/>
      </c>
      <c r="E1369" s="13" t="str">
        <f t="shared" ca="1" si="109"/>
        <v>No ruin</v>
      </c>
      <c r="F1369">
        <f t="shared" ca="1" si="110"/>
        <v>0</v>
      </c>
    </row>
    <row r="1370" spans="1:6">
      <c r="A1370" s="3" t="str">
        <f t="shared" ca="1" si="106"/>
        <v/>
      </c>
      <c r="B1370" s="2" t="str">
        <f t="shared" ca="1" si="107"/>
        <v/>
      </c>
      <c r="C1370" s="2" t="str">
        <f ca="1">IF(E1369="continue",SUM(B$8:B1370),"")</f>
        <v/>
      </c>
      <c r="D1370" s="1" t="str">
        <f t="shared" ca="1" si="108"/>
        <v/>
      </c>
      <c r="E1370" s="13" t="str">
        <f t="shared" ca="1" si="109"/>
        <v>No ruin</v>
      </c>
      <c r="F1370">
        <f t="shared" ca="1" si="110"/>
        <v>0</v>
      </c>
    </row>
    <row r="1371" spans="1:6">
      <c r="A1371" s="3" t="str">
        <f t="shared" ca="1" si="106"/>
        <v/>
      </c>
      <c r="B1371" s="2" t="str">
        <f t="shared" ca="1" si="107"/>
        <v/>
      </c>
      <c r="C1371" s="2" t="str">
        <f ca="1">IF(E1370="continue",SUM(B$8:B1371),"")</f>
        <v/>
      </c>
      <c r="D1371" s="1" t="str">
        <f t="shared" ca="1" si="108"/>
        <v/>
      </c>
      <c r="E1371" s="13" t="str">
        <f t="shared" ca="1" si="109"/>
        <v>No ruin</v>
      </c>
      <c r="F1371">
        <f t="shared" ca="1" si="110"/>
        <v>0</v>
      </c>
    </row>
    <row r="1372" spans="1:6">
      <c r="A1372" s="3" t="str">
        <f t="shared" ref="A1372:A1435" ca="1" si="111">IF(E1371="continue",-LN(1-RAND())*O$3+A1371,"")</f>
        <v/>
      </c>
      <c r="B1372" s="2" t="str">
        <f t="shared" ref="B1372:B1435" ca="1" si="112">IF(E1371="continue",-LN(1-RAND())*M$3,"")</f>
        <v/>
      </c>
      <c r="C1372" s="2" t="str">
        <f ca="1">IF(E1371="continue",SUM(B$8:B1372),"")</f>
        <v/>
      </c>
      <c r="D1372" s="1" t="str">
        <f t="shared" ref="D1372:D1435" ca="1" si="113">IF(E1371="continue",(1+J$1)*(1/O$3)*M$3*A1372,"")</f>
        <v/>
      </c>
      <c r="E1372" s="13" t="str">
        <f t="shared" ref="E1372:E1435" ca="1" si="114">IF(A1372&gt;G$1,"No ruin",IF(AND(A1372&lt;=G$1,C1372&gt;J$4+D1372),"RUIN","continue"))</f>
        <v>No ruin</v>
      </c>
      <c r="F1372">
        <f t="shared" ca="1" si="110"/>
        <v>0</v>
      </c>
    </row>
    <row r="1373" spans="1:6">
      <c r="A1373" s="3" t="str">
        <f t="shared" ca="1" si="111"/>
        <v/>
      </c>
      <c r="B1373" s="2" t="str">
        <f t="shared" ca="1" si="112"/>
        <v/>
      </c>
      <c r="C1373" s="2" t="str">
        <f ca="1">IF(E1372="continue",SUM(B$8:B1373),"")</f>
        <v/>
      </c>
      <c r="D1373" s="1" t="str">
        <f t="shared" ca="1" si="113"/>
        <v/>
      </c>
      <c r="E1373" s="13" t="str">
        <f t="shared" ca="1" si="114"/>
        <v>No ruin</v>
      </c>
      <c r="F1373">
        <f t="shared" ca="1" si="110"/>
        <v>0</v>
      </c>
    </row>
    <row r="1374" spans="1:6">
      <c r="A1374" s="3" t="str">
        <f t="shared" ca="1" si="111"/>
        <v/>
      </c>
      <c r="B1374" s="2" t="str">
        <f t="shared" ca="1" si="112"/>
        <v/>
      </c>
      <c r="C1374" s="2" t="str">
        <f ca="1">IF(E1373="continue",SUM(B$8:B1374),"")</f>
        <v/>
      </c>
      <c r="D1374" s="1" t="str">
        <f t="shared" ca="1" si="113"/>
        <v/>
      </c>
      <c r="E1374" s="13" t="str">
        <f t="shared" ca="1" si="114"/>
        <v>No ruin</v>
      </c>
      <c r="F1374">
        <f t="shared" ca="1" si="110"/>
        <v>0</v>
      </c>
    </row>
    <row r="1375" spans="1:6">
      <c r="A1375" s="3" t="str">
        <f t="shared" ca="1" si="111"/>
        <v/>
      </c>
      <c r="B1375" s="2" t="str">
        <f t="shared" ca="1" si="112"/>
        <v/>
      </c>
      <c r="C1375" s="2" t="str">
        <f ca="1">IF(E1374="continue",SUM(B$8:B1375),"")</f>
        <v/>
      </c>
      <c r="D1375" s="1" t="str">
        <f t="shared" ca="1" si="113"/>
        <v/>
      </c>
      <c r="E1375" s="13" t="str">
        <f t="shared" ca="1" si="114"/>
        <v>No ruin</v>
      </c>
      <c r="F1375">
        <f t="shared" ca="1" si="110"/>
        <v>0</v>
      </c>
    </row>
    <row r="1376" spans="1:6">
      <c r="A1376" s="3" t="str">
        <f t="shared" ca="1" si="111"/>
        <v/>
      </c>
      <c r="B1376" s="2" t="str">
        <f t="shared" ca="1" si="112"/>
        <v/>
      </c>
      <c r="C1376" s="2" t="str">
        <f ca="1">IF(E1375="continue",SUM(B$8:B1376),"")</f>
        <v/>
      </c>
      <c r="D1376" s="1" t="str">
        <f t="shared" ca="1" si="113"/>
        <v/>
      </c>
      <c r="E1376" s="13" t="str">
        <f t="shared" ca="1" si="114"/>
        <v>No ruin</v>
      </c>
      <c r="F1376">
        <f t="shared" ca="1" si="110"/>
        <v>0</v>
      </c>
    </row>
    <row r="1377" spans="1:6">
      <c r="A1377" s="3" t="str">
        <f t="shared" ca="1" si="111"/>
        <v/>
      </c>
      <c r="B1377" s="2" t="str">
        <f t="shared" ca="1" si="112"/>
        <v/>
      </c>
      <c r="C1377" s="2" t="str">
        <f ca="1">IF(E1376="continue",SUM(B$8:B1377),"")</f>
        <v/>
      </c>
      <c r="D1377" s="1" t="str">
        <f t="shared" ca="1" si="113"/>
        <v/>
      </c>
      <c r="E1377" s="13" t="str">
        <f t="shared" ca="1" si="114"/>
        <v>No ruin</v>
      </c>
      <c r="F1377">
        <f t="shared" ca="1" si="110"/>
        <v>0</v>
      </c>
    </row>
    <row r="1378" spans="1:6">
      <c r="A1378" s="3" t="str">
        <f t="shared" ca="1" si="111"/>
        <v/>
      </c>
      <c r="B1378" s="2" t="str">
        <f t="shared" ca="1" si="112"/>
        <v/>
      </c>
      <c r="C1378" s="2" t="str">
        <f ca="1">IF(E1377="continue",SUM(B$8:B1378),"")</f>
        <v/>
      </c>
      <c r="D1378" s="1" t="str">
        <f t="shared" ca="1" si="113"/>
        <v/>
      </c>
      <c r="E1378" s="13" t="str">
        <f t="shared" ca="1" si="114"/>
        <v>No ruin</v>
      </c>
      <c r="F1378">
        <f t="shared" ca="1" si="110"/>
        <v>0</v>
      </c>
    </row>
    <row r="1379" spans="1:6">
      <c r="A1379" s="3" t="str">
        <f t="shared" ca="1" si="111"/>
        <v/>
      </c>
      <c r="B1379" s="2" t="str">
        <f t="shared" ca="1" si="112"/>
        <v/>
      </c>
      <c r="C1379" s="2" t="str">
        <f ca="1">IF(E1378="continue",SUM(B$8:B1379),"")</f>
        <v/>
      </c>
      <c r="D1379" s="1" t="str">
        <f t="shared" ca="1" si="113"/>
        <v/>
      </c>
      <c r="E1379" s="13" t="str">
        <f t="shared" ca="1" si="114"/>
        <v>No ruin</v>
      </c>
      <c r="F1379">
        <f t="shared" ca="1" si="110"/>
        <v>0</v>
      </c>
    </row>
    <row r="1380" spans="1:6">
      <c r="A1380" s="3" t="str">
        <f t="shared" ca="1" si="111"/>
        <v/>
      </c>
      <c r="B1380" s="2" t="str">
        <f t="shared" ca="1" si="112"/>
        <v/>
      </c>
      <c r="C1380" s="2" t="str">
        <f ca="1">IF(E1379="continue",SUM(B$8:B1380),"")</f>
        <v/>
      </c>
      <c r="D1380" s="1" t="str">
        <f t="shared" ca="1" si="113"/>
        <v/>
      </c>
      <c r="E1380" s="13" t="str">
        <f t="shared" ca="1" si="114"/>
        <v>No ruin</v>
      </c>
      <c r="F1380">
        <f t="shared" ca="1" si="110"/>
        <v>0</v>
      </c>
    </row>
    <row r="1381" spans="1:6">
      <c r="A1381" s="3" t="str">
        <f t="shared" ca="1" si="111"/>
        <v/>
      </c>
      <c r="B1381" s="2" t="str">
        <f t="shared" ca="1" si="112"/>
        <v/>
      </c>
      <c r="C1381" s="2" t="str">
        <f ca="1">IF(E1380="continue",SUM(B$8:B1381),"")</f>
        <v/>
      </c>
      <c r="D1381" s="1" t="str">
        <f t="shared" ca="1" si="113"/>
        <v/>
      </c>
      <c r="E1381" s="13" t="str">
        <f t="shared" ca="1" si="114"/>
        <v>No ruin</v>
      </c>
      <c r="F1381">
        <f t="shared" ca="1" si="110"/>
        <v>0</v>
      </c>
    </row>
    <row r="1382" spans="1:6">
      <c r="A1382" s="3" t="str">
        <f t="shared" ca="1" si="111"/>
        <v/>
      </c>
      <c r="B1382" s="2" t="str">
        <f t="shared" ca="1" si="112"/>
        <v/>
      </c>
      <c r="C1382" s="2" t="str">
        <f ca="1">IF(E1381="continue",SUM(B$8:B1382),"")</f>
        <v/>
      </c>
      <c r="D1382" s="1" t="str">
        <f t="shared" ca="1" si="113"/>
        <v/>
      </c>
      <c r="E1382" s="13" t="str">
        <f t="shared" ca="1" si="114"/>
        <v>No ruin</v>
      </c>
      <c r="F1382">
        <f t="shared" ca="1" si="110"/>
        <v>0</v>
      </c>
    </row>
    <row r="1383" spans="1:6">
      <c r="A1383" s="3" t="str">
        <f t="shared" ca="1" si="111"/>
        <v/>
      </c>
      <c r="B1383" s="2" t="str">
        <f t="shared" ca="1" si="112"/>
        <v/>
      </c>
      <c r="C1383" s="2" t="str">
        <f ca="1">IF(E1382="continue",SUM(B$8:B1383),"")</f>
        <v/>
      </c>
      <c r="D1383" s="1" t="str">
        <f t="shared" ca="1" si="113"/>
        <v/>
      </c>
      <c r="E1383" s="13" t="str">
        <f t="shared" ca="1" si="114"/>
        <v>No ruin</v>
      </c>
      <c r="F1383">
        <f t="shared" ca="1" si="110"/>
        <v>0</v>
      </c>
    </row>
    <row r="1384" spans="1:6">
      <c r="A1384" s="3" t="str">
        <f t="shared" ca="1" si="111"/>
        <v/>
      </c>
      <c r="B1384" s="2" t="str">
        <f t="shared" ca="1" si="112"/>
        <v/>
      </c>
      <c r="C1384" s="2" t="str">
        <f ca="1">IF(E1383="continue",SUM(B$8:B1384),"")</f>
        <v/>
      </c>
      <c r="D1384" s="1" t="str">
        <f t="shared" ca="1" si="113"/>
        <v/>
      </c>
      <c r="E1384" s="13" t="str">
        <f t="shared" ca="1" si="114"/>
        <v>No ruin</v>
      </c>
      <c r="F1384">
        <f t="shared" ca="1" si="110"/>
        <v>0</v>
      </c>
    </row>
    <row r="1385" spans="1:6">
      <c r="A1385" s="3" t="str">
        <f t="shared" ca="1" si="111"/>
        <v/>
      </c>
      <c r="B1385" s="2" t="str">
        <f t="shared" ca="1" si="112"/>
        <v/>
      </c>
      <c r="C1385" s="2" t="str">
        <f ca="1">IF(E1384="continue",SUM(B$8:B1385),"")</f>
        <v/>
      </c>
      <c r="D1385" s="1" t="str">
        <f t="shared" ca="1" si="113"/>
        <v/>
      </c>
      <c r="E1385" s="13" t="str">
        <f t="shared" ca="1" si="114"/>
        <v>No ruin</v>
      </c>
      <c r="F1385">
        <f t="shared" ca="1" si="110"/>
        <v>0</v>
      </c>
    </row>
    <row r="1386" spans="1:6">
      <c r="A1386" s="3" t="str">
        <f t="shared" ca="1" si="111"/>
        <v/>
      </c>
      <c r="B1386" s="2" t="str">
        <f t="shared" ca="1" si="112"/>
        <v/>
      </c>
      <c r="C1386" s="2" t="str">
        <f ca="1">IF(E1385="continue",SUM(B$8:B1386),"")</f>
        <v/>
      </c>
      <c r="D1386" s="1" t="str">
        <f t="shared" ca="1" si="113"/>
        <v/>
      </c>
      <c r="E1386" s="13" t="str">
        <f t="shared" ca="1" si="114"/>
        <v>No ruin</v>
      </c>
      <c r="F1386">
        <f t="shared" ca="1" si="110"/>
        <v>0</v>
      </c>
    </row>
    <row r="1387" spans="1:6">
      <c r="A1387" s="3" t="str">
        <f t="shared" ca="1" si="111"/>
        <v/>
      </c>
      <c r="B1387" s="2" t="str">
        <f t="shared" ca="1" si="112"/>
        <v/>
      </c>
      <c r="C1387" s="2" t="str">
        <f ca="1">IF(E1386="continue",SUM(B$8:B1387),"")</f>
        <v/>
      </c>
      <c r="D1387" s="1" t="str">
        <f t="shared" ca="1" si="113"/>
        <v/>
      </c>
      <c r="E1387" s="13" t="str">
        <f t="shared" ca="1" si="114"/>
        <v>No ruin</v>
      </c>
      <c r="F1387">
        <f t="shared" ca="1" si="110"/>
        <v>0</v>
      </c>
    </row>
    <row r="1388" spans="1:6">
      <c r="A1388" s="3" t="str">
        <f t="shared" ca="1" si="111"/>
        <v/>
      </c>
      <c r="B1388" s="2" t="str">
        <f t="shared" ca="1" si="112"/>
        <v/>
      </c>
      <c r="C1388" s="2" t="str">
        <f ca="1">IF(E1387="continue",SUM(B$8:B1388),"")</f>
        <v/>
      </c>
      <c r="D1388" s="1" t="str">
        <f t="shared" ca="1" si="113"/>
        <v/>
      </c>
      <c r="E1388" s="13" t="str">
        <f t="shared" ca="1" si="114"/>
        <v>No ruin</v>
      </c>
      <c r="F1388">
        <f t="shared" ca="1" si="110"/>
        <v>0</v>
      </c>
    </row>
    <row r="1389" spans="1:6">
      <c r="A1389" s="3" t="str">
        <f t="shared" ca="1" si="111"/>
        <v/>
      </c>
      <c r="B1389" s="2" t="str">
        <f t="shared" ca="1" si="112"/>
        <v/>
      </c>
      <c r="C1389" s="2" t="str">
        <f ca="1">IF(E1388="continue",SUM(B$8:B1389),"")</f>
        <v/>
      </c>
      <c r="D1389" s="1" t="str">
        <f t="shared" ca="1" si="113"/>
        <v/>
      </c>
      <c r="E1389" s="13" t="str">
        <f t="shared" ca="1" si="114"/>
        <v>No ruin</v>
      </c>
      <c r="F1389">
        <f t="shared" ca="1" si="110"/>
        <v>0</v>
      </c>
    </row>
    <row r="1390" spans="1:6">
      <c r="A1390" s="3" t="str">
        <f t="shared" ca="1" si="111"/>
        <v/>
      </c>
      <c r="B1390" s="2" t="str">
        <f t="shared" ca="1" si="112"/>
        <v/>
      </c>
      <c r="C1390" s="2" t="str">
        <f ca="1">IF(E1389="continue",SUM(B$8:B1390),"")</f>
        <v/>
      </c>
      <c r="D1390" s="1" t="str">
        <f t="shared" ca="1" si="113"/>
        <v/>
      </c>
      <c r="E1390" s="13" t="str">
        <f t="shared" ca="1" si="114"/>
        <v>No ruin</v>
      </c>
      <c r="F1390">
        <f t="shared" ca="1" si="110"/>
        <v>0</v>
      </c>
    </row>
    <row r="1391" spans="1:6">
      <c r="A1391" s="3" t="str">
        <f t="shared" ca="1" si="111"/>
        <v/>
      </c>
      <c r="B1391" s="2" t="str">
        <f t="shared" ca="1" si="112"/>
        <v/>
      </c>
      <c r="C1391" s="2" t="str">
        <f ca="1">IF(E1390="continue",SUM(B$8:B1391),"")</f>
        <v/>
      </c>
      <c r="D1391" s="1" t="str">
        <f t="shared" ca="1" si="113"/>
        <v/>
      </c>
      <c r="E1391" s="13" t="str">
        <f t="shared" ca="1" si="114"/>
        <v>No ruin</v>
      </c>
      <c r="F1391">
        <f t="shared" ca="1" si="110"/>
        <v>0</v>
      </c>
    </row>
    <row r="1392" spans="1:6">
      <c r="A1392" s="3" t="str">
        <f t="shared" ca="1" si="111"/>
        <v/>
      </c>
      <c r="B1392" s="2" t="str">
        <f t="shared" ca="1" si="112"/>
        <v/>
      </c>
      <c r="C1392" s="2" t="str">
        <f ca="1">IF(E1391="continue",SUM(B$8:B1392),"")</f>
        <v/>
      </c>
      <c r="D1392" s="1" t="str">
        <f t="shared" ca="1" si="113"/>
        <v/>
      </c>
      <c r="E1392" s="13" t="str">
        <f t="shared" ca="1" si="114"/>
        <v>No ruin</v>
      </c>
      <c r="F1392">
        <f t="shared" ca="1" si="110"/>
        <v>0</v>
      </c>
    </row>
    <row r="1393" spans="1:6">
      <c r="A1393" s="3" t="str">
        <f t="shared" ca="1" si="111"/>
        <v/>
      </c>
      <c r="B1393" s="2" t="str">
        <f t="shared" ca="1" si="112"/>
        <v/>
      </c>
      <c r="C1393" s="2" t="str">
        <f ca="1">IF(E1392="continue",SUM(B$8:B1393),"")</f>
        <v/>
      </c>
      <c r="D1393" s="1" t="str">
        <f t="shared" ca="1" si="113"/>
        <v/>
      </c>
      <c r="E1393" s="13" t="str">
        <f t="shared" ca="1" si="114"/>
        <v>No ruin</v>
      </c>
      <c r="F1393">
        <f t="shared" ca="1" si="110"/>
        <v>0</v>
      </c>
    </row>
    <row r="1394" spans="1:6">
      <c r="A1394" s="3" t="str">
        <f t="shared" ca="1" si="111"/>
        <v/>
      </c>
      <c r="B1394" s="2" t="str">
        <f t="shared" ca="1" si="112"/>
        <v/>
      </c>
      <c r="C1394" s="2" t="str">
        <f ca="1">IF(E1393="continue",SUM(B$8:B1394),"")</f>
        <v/>
      </c>
      <c r="D1394" s="1" t="str">
        <f t="shared" ca="1" si="113"/>
        <v/>
      </c>
      <c r="E1394" s="13" t="str">
        <f t="shared" ca="1" si="114"/>
        <v>No ruin</v>
      </c>
      <c r="F1394">
        <f t="shared" ca="1" si="110"/>
        <v>0</v>
      </c>
    </row>
    <row r="1395" spans="1:6">
      <c r="A1395" s="3" t="str">
        <f t="shared" ca="1" si="111"/>
        <v/>
      </c>
      <c r="B1395" s="2" t="str">
        <f t="shared" ca="1" si="112"/>
        <v/>
      </c>
      <c r="C1395" s="2" t="str">
        <f ca="1">IF(E1394="continue",SUM(B$8:B1395),"")</f>
        <v/>
      </c>
      <c r="D1395" s="1" t="str">
        <f t="shared" ca="1" si="113"/>
        <v/>
      </c>
      <c r="E1395" s="13" t="str">
        <f t="shared" ca="1" si="114"/>
        <v>No ruin</v>
      </c>
      <c r="F1395">
        <f t="shared" ca="1" si="110"/>
        <v>0</v>
      </c>
    </row>
    <row r="1396" spans="1:6">
      <c r="A1396" s="3" t="str">
        <f t="shared" ca="1" si="111"/>
        <v/>
      </c>
      <c r="B1396" s="2" t="str">
        <f t="shared" ca="1" si="112"/>
        <v/>
      </c>
      <c r="C1396" s="2" t="str">
        <f ca="1">IF(E1395="continue",SUM(B$8:B1396),"")</f>
        <v/>
      </c>
      <c r="D1396" s="1" t="str">
        <f t="shared" ca="1" si="113"/>
        <v/>
      </c>
      <c r="E1396" s="13" t="str">
        <f t="shared" ca="1" si="114"/>
        <v>No ruin</v>
      </c>
      <c r="F1396">
        <f t="shared" ca="1" si="110"/>
        <v>0</v>
      </c>
    </row>
    <row r="1397" spans="1:6">
      <c r="A1397" s="3" t="str">
        <f t="shared" ca="1" si="111"/>
        <v/>
      </c>
      <c r="B1397" s="2" t="str">
        <f t="shared" ca="1" si="112"/>
        <v/>
      </c>
      <c r="C1397" s="2" t="str">
        <f ca="1">IF(E1396="continue",SUM(B$8:B1397),"")</f>
        <v/>
      </c>
      <c r="D1397" s="1" t="str">
        <f t="shared" ca="1" si="113"/>
        <v/>
      </c>
      <c r="E1397" s="13" t="str">
        <f t="shared" ca="1" si="114"/>
        <v>No ruin</v>
      </c>
      <c r="F1397">
        <f t="shared" ca="1" si="110"/>
        <v>0</v>
      </c>
    </row>
    <row r="1398" spans="1:6">
      <c r="A1398" s="3" t="str">
        <f t="shared" ca="1" si="111"/>
        <v/>
      </c>
      <c r="B1398" s="2" t="str">
        <f t="shared" ca="1" si="112"/>
        <v/>
      </c>
      <c r="C1398" s="2" t="str">
        <f ca="1">IF(E1397="continue",SUM(B$8:B1398),"")</f>
        <v/>
      </c>
      <c r="D1398" s="1" t="str">
        <f t="shared" ca="1" si="113"/>
        <v/>
      </c>
      <c r="E1398" s="13" t="str">
        <f t="shared" ca="1" si="114"/>
        <v>No ruin</v>
      </c>
      <c r="F1398">
        <f t="shared" ca="1" si="110"/>
        <v>0</v>
      </c>
    </row>
    <row r="1399" spans="1:6">
      <c r="A1399" s="3" t="str">
        <f t="shared" ca="1" si="111"/>
        <v/>
      </c>
      <c r="B1399" s="2" t="str">
        <f t="shared" ca="1" si="112"/>
        <v/>
      </c>
      <c r="C1399" s="2" t="str">
        <f ca="1">IF(E1398="continue",SUM(B$8:B1399),"")</f>
        <v/>
      </c>
      <c r="D1399" s="1" t="str">
        <f t="shared" ca="1" si="113"/>
        <v/>
      </c>
      <c r="E1399" s="13" t="str">
        <f t="shared" ca="1" si="114"/>
        <v>No ruin</v>
      </c>
      <c r="F1399">
        <f t="shared" ca="1" si="110"/>
        <v>0</v>
      </c>
    </row>
    <row r="1400" spans="1:6">
      <c r="A1400" s="3" t="str">
        <f t="shared" ca="1" si="111"/>
        <v/>
      </c>
      <c r="B1400" s="2" t="str">
        <f t="shared" ca="1" si="112"/>
        <v/>
      </c>
      <c r="C1400" s="2" t="str">
        <f ca="1">IF(E1399="continue",SUM(B$8:B1400),"")</f>
        <v/>
      </c>
      <c r="D1400" s="1" t="str">
        <f t="shared" ca="1" si="113"/>
        <v/>
      </c>
      <c r="E1400" s="13" t="str">
        <f t="shared" ca="1" si="114"/>
        <v>No ruin</v>
      </c>
      <c r="F1400">
        <f t="shared" ca="1" si="110"/>
        <v>0</v>
      </c>
    </row>
    <row r="1401" spans="1:6">
      <c r="A1401" s="3" t="str">
        <f t="shared" ca="1" si="111"/>
        <v/>
      </c>
      <c r="B1401" s="2" t="str">
        <f t="shared" ca="1" si="112"/>
        <v/>
      </c>
      <c r="C1401" s="2" t="str">
        <f ca="1">IF(E1400="continue",SUM(B$8:B1401),"")</f>
        <v/>
      </c>
      <c r="D1401" s="1" t="str">
        <f t="shared" ca="1" si="113"/>
        <v/>
      </c>
      <c r="E1401" s="13" t="str">
        <f t="shared" ca="1" si="114"/>
        <v>No ruin</v>
      </c>
      <c r="F1401">
        <f t="shared" ca="1" si="110"/>
        <v>0</v>
      </c>
    </row>
    <row r="1402" spans="1:6">
      <c r="A1402" s="3" t="str">
        <f t="shared" ca="1" si="111"/>
        <v/>
      </c>
      <c r="B1402" s="2" t="str">
        <f t="shared" ca="1" si="112"/>
        <v/>
      </c>
      <c r="C1402" s="2" t="str">
        <f ca="1">IF(E1401="continue",SUM(B$8:B1402),"")</f>
        <v/>
      </c>
      <c r="D1402" s="1" t="str">
        <f t="shared" ca="1" si="113"/>
        <v/>
      </c>
      <c r="E1402" s="13" t="str">
        <f t="shared" ca="1" si="114"/>
        <v>No ruin</v>
      </c>
      <c r="F1402">
        <f t="shared" ca="1" si="110"/>
        <v>0</v>
      </c>
    </row>
    <row r="1403" spans="1:6">
      <c r="A1403" s="3" t="str">
        <f t="shared" ca="1" si="111"/>
        <v/>
      </c>
      <c r="B1403" s="2" t="str">
        <f t="shared" ca="1" si="112"/>
        <v/>
      </c>
      <c r="C1403" s="2" t="str">
        <f ca="1">IF(E1402="continue",SUM(B$8:B1403),"")</f>
        <v/>
      </c>
      <c r="D1403" s="1" t="str">
        <f t="shared" ca="1" si="113"/>
        <v/>
      </c>
      <c r="E1403" s="13" t="str">
        <f t="shared" ca="1" si="114"/>
        <v>No ruin</v>
      </c>
      <c r="F1403">
        <f t="shared" ca="1" si="110"/>
        <v>0</v>
      </c>
    </row>
    <row r="1404" spans="1:6">
      <c r="A1404" s="3" t="str">
        <f t="shared" ca="1" si="111"/>
        <v/>
      </c>
      <c r="B1404" s="2" t="str">
        <f t="shared" ca="1" si="112"/>
        <v/>
      </c>
      <c r="C1404" s="2" t="str">
        <f ca="1">IF(E1403="continue",SUM(B$8:B1404),"")</f>
        <v/>
      </c>
      <c r="D1404" s="1" t="str">
        <f t="shared" ca="1" si="113"/>
        <v/>
      </c>
      <c r="E1404" s="13" t="str">
        <f t="shared" ca="1" si="114"/>
        <v>No ruin</v>
      </c>
      <c r="F1404">
        <f t="shared" ca="1" si="110"/>
        <v>0</v>
      </c>
    </row>
    <row r="1405" spans="1:6">
      <c r="A1405" s="3" t="str">
        <f t="shared" ca="1" si="111"/>
        <v/>
      </c>
      <c r="B1405" s="2" t="str">
        <f t="shared" ca="1" si="112"/>
        <v/>
      </c>
      <c r="C1405" s="2" t="str">
        <f ca="1">IF(E1404="continue",SUM(B$8:B1405),"")</f>
        <v/>
      </c>
      <c r="D1405" s="1" t="str">
        <f t="shared" ca="1" si="113"/>
        <v/>
      </c>
      <c r="E1405" s="13" t="str">
        <f t="shared" ca="1" si="114"/>
        <v>No ruin</v>
      </c>
      <c r="F1405">
        <f t="shared" ca="1" si="110"/>
        <v>0</v>
      </c>
    </row>
    <row r="1406" spans="1:6">
      <c r="A1406" s="3" t="str">
        <f t="shared" ca="1" si="111"/>
        <v/>
      </c>
      <c r="B1406" s="2" t="str">
        <f t="shared" ca="1" si="112"/>
        <v/>
      </c>
      <c r="C1406" s="2" t="str">
        <f ca="1">IF(E1405="continue",SUM(B$8:B1406),"")</f>
        <v/>
      </c>
      <c r="D1406" s="1" t="str">
        <f t="shared" ca="1" si="113"/>
        <v/>
      </c>
      <c r="E1406" s="13" t="str">
        <f t="shared" ca="1" si="114"/>
        <v>No ruin</v>
      </c>
      <c r="F1406">
        <f t="shared" ca="1" si="110"/>
        <v>0</v>
      </c>
    </row>
    <row r="1407" spans="1:6">
      <c r="A1407" s="3" t="str">
        <f t="shared" ca="1" si="111"/>
        <v/>
      </c>
      <c r="B1407" s="2" t="str">
        <f t="shared" ca="1" si="112"/>
        <v/>
      </c>
      <c r="C1407" s="2" t="str">
        <f ca="1">IF(E1406="continue",SUM(B$8:B1407),"")</f>
        <v/>
      </c>
      <c r="D1407" s="1" t="str">
        <f t="shared" ca="1" si="113"/>
        <v/>
      </c>
      <c r="E1407" s="13" t="str">
        <f t="shared" ca="1" si="114"/>
        <v>No ruin</v>
      </c>
      <c r="F1407">
        <f t="shared" ca="1" si="110"/>
        <v>0</v>
      </c>
    </row>
    <row r="1408" spans="1:6">
      <c r="A1408" s="3" t="str">
        <f t="shared" ca="1" si="111"/>
        <v/>
      </c>
      <c r="B1408" s="2" t="str">
        <f t="shared" ca="1" si="112"/>
        <v/>
      </c>
      <c r="C1408" s="2" t="str">
        <f ca="1">IF(E1407="continue",SUM(B$8:B1408),"")</f>
        <v/>
      </c>
      <c r="D1408" s="1" t="str">
        <f t="shared" ca="1" si="113"/>
        <v/>
      </c>
      <c r="E1408" s="13" t="str">
        <f t="shared" ca="1" si="114"/>
        <v>No ruin</v>
      </c>
      <c r="F1408">
        <f t="shared" ca="1" si="110"/>
        <v>0</v>
      </c>
    </row>
    <row r="1409" spans="1:6">
      <c r="A1409" s="3" t="str">
        <f t="shared" ca="1" si="111"/>
        <v/>
      </c>
      <c r="B1409" s="2" t="str">
        <f t="shared" ca="1" si="112"/>
        <v/>
      </c>
      <c r="C1409" s="2" t="str">
        <f ca="1">IF(E1408="continue",SUM(B$8:B1409),"")</f>
        <v/>
      </c>
      <c r="D1409" s="1" t="str">
        <f t="shared" ca="1" si="113"/>
        <v/>
      </c>
      <c r="E1409" s="13" t="str">
        <f t="shared" ca="1" si="114"/>
        <v>No ruin</v>
      </c>
      <c r="F1409">
        <f t="shared" ca="1" si="110"/>
        <v>0</v>
      </c>
    </row>
    <row r="1410" spans="1:6">
      <c r="A1410" s="3" t="str">
        <f t="shared" ca="1" si="111"/>
        <v/>
      </c>
      <c r="B1410" s="2" t="str">
        <f t="shared" ca="1" si="112"/>
        <v/>
      </c>
      <c r="C1410" s="2" t="str">
        <f ca="1">IF(E1409="continue",SUM(B$8:B1410),"")</f>
        <v/>
      </c>
      <c r="D1410" s="1" t="str">
        <f t="shared" ca="1" si="113"/>
        <v/>
      </c>
      <c r="E1410" s="13" t="str">
        <f t="shared" ca="1" si="114"/>
        <v>No ruin</v>
      </c>
      <c r="F1410">
        <f t="shared" ca="1" si="110"/>
        <v>0</v>
      </c>
    </row>
    <row r="1411" spans="1:6">
      <c r="A1411" s="3" t="str">
        <f t="shared" ca="1" si="111"/>
        <v/>
      </c>
      <c r="B1411" s="2" t="str">
        <f t="shared" ca="1" si="112"/>
        <v/>
      </c>
      <c r="C1411" s="2" t="str">
        <f ca="1">IF(E1410="continue",SUM(B$8:B1411),"")</f>
        <v/>
      </c>
      <c r="D1411" s="1" t="str">
        <f t="shared" ca="1" si="113"/>
        <v/>
      </c>
      <c r="E1411" s="13" t="str">
        <f t="shared" ca="1" si="114"/>
        <v>No ruin</v>
      </c>
      <c r="F1411">
        <f t="shared" ca="1" si="110"/>
        <v>0</v>
      </c>
    </row>
    <row r="1412" spans="1:6">
      <c r="A1412" s="3" t="str">
        <f t="shared" ca="1" si="111"/>
        <v/>
      </c>
      <c r="B1412" s="2" t="str">
        <f t="shared" ca="1" si="112"/>
        <v/>
      </c>
      <c r="C1412" s="2" t="str">
        <f ca="1">IF(E1411="continue",SUM(B$8:B1412),"")</f>
        <v/>
      </c>
      <c r="D1412" s="1" t="str">
        <f t="shared" ca="1" si="113"/>
        <v/>
      </c>
      <c r="E1412" s="13" t="str">
        <f t="shared" ca="1" si="114"/>
        <v>No ruin</v>
      </c>
      <c r="F1412">
        <f t="shared" ca="1" si="110"/>
        <v>0</v>
      </c>
    </row>
    <row r="1413" spans="1:6">
      <c r="A1413" s="3" t="str">
        <f t="shared" ca="1" si="111"/>
        <v/>
      </c>
      <c r="B1413" s="2" t="str">
        <f t="shared" ca="1" si="112"/>
        <v/>
      </c>
      <c r="C1413" s="2" t="str">
        <f ca="1">IF(E1412="continue",SUM(B$8:B1413),"")</f>
        <v/>
      </c>
      <c r="D1413" s="1" t="str">
        <f t="shared" ca="1" si="113"/>
        <v/>
      </c>
      <c r="E1413" s="13" t="str">
        <f t="shared" ca="1" si="114"/>
        <v>No ruin</v>
      </c>
      <c r="F1413">
        <f t="shared" ca="1" si="110"/>
        <v>0</v>
      </c>
    </row>
    <row r="1414" spans="1:6">
      <c r="A1414" s="3" t="str">
        <f t="shared" ca="1" si="111"/>
        <v/>
      </c>
      <c r="B1414" s="2" t="str">
        <f t="shared" ca="1" si="112"/>
        <v/>
      </c>
      <c r="C1414" s="2" t="str">
        <f ca="1">IF(E1413="continue",SUM(B$8:B1414),"")</f>
        <v/>
      </c>
      <c r="D1414" s="1" t="str">
        <f t="shared" ca="1" si="113"/>
        <v/>
      </c>
      <c r="E1414" s="13" t="str">
        <f t="shared" ca="1" si="114"/>
        <v>No ruin</v>
      </c>
      <c r="F1414">
        <f t="shared" ca="1" si="110"/>
        <v>0</v>
      </c>
    </row>
    <row r="1415" spans="1:6">
      <c r="A1415" s="3" t="str">
        <f t="shared" ca="1" si="111"/>
        <v/>
      </c>
      <c r="B1415" s="2" t="str">
        <f t="shared" ca="1" si="112"/>
        <v/>
      </c>
      <c r="C1415" s="2" t="str">
        <f ca="1">IF(E1414="continue",SUM(B$8:B1415),"")</f>
        <v/>
      </c>
      <c r="D1415" s="1" t="str">
        <f t="shared" ca="1" si="113"/>
        <v/>
      </c>
      <c r="E1415" s="13" t="str">
        <f t="shared" ca="1" si="114"/>
        <v>No ruin</v>
      </c>
      <c r="F1415">
        <f t="shared" ca="1" si="110"/>
        <v>0</v>
      </c>
    </row>
    <row r="1416" spans="1:6">
      <c r="A1416" s="3" t="str">
        <f t="shared" ca="1" si="111"/>
        <v/>
      </c>
      <c r="B1416" s="2" t="str">
        <f t="shared" ca="1" si="112"/>
        <v/>
      </c>
      <c r="C1416" s="2" t="str">
        <f ca="1">IF(E1415="continue",SUM(B$8:B1416),"")</f>
        <v/>
      </c>
      <c r="D1416" s="1" t="str">
        <f t="shared" ca="1" si="113"/>
        <v/>
      </c>
      <c r="E1416" s="13" t="str">
        <f t="shared" ca="1" si="114"/>
        <v>No ruin</v>
      </c>
      <c r="F1416">
        <f t="shared" ca="1" si="110"/>
        <v>0</v>
      </c>
    </row>
    <row r="1417" spans="1:6">
      <c r="A1417" s="3" t="str">
        <f t="shared" ca="1" si="111"/>
        <v/>
      </c>
      <c r="B1417" s="2" t="str">
        <f t="shared" ca="1" si="112"/>
        <v/>
      </c>
      <c r="C1417" s="2" t="str">
        <f ca="1">IF(E1416="continue",SUM(B$8:B1417),"")</f>
        <v/>
      </c>
      <c r="D1417" s="1" t="str">
        <f t="shared" ca="1" si="113"/>
        <v/>
      </c>
      <c r="E1417" s="13" t="str">
        <f t="shared" ca="1" si="114"/>
        <v>No ruin</v>
      </c>
      <c r="F1417">
        <f t="shared" ca="1" si="110"/>
        <v>0</v>
      </c>
    </row>
    <row r="1418" spans="1:6">
      <c r="A1418" s="3" t="str">
        <f t="shared" ca="1" si="111"/>
        <v/>
      </c>
      <c r="B1418" s="2" t="str">
        <f t="shared" ca="1" si="112"/>
        <v/>
      </c>
      <c r="C1418" s="2" t="str">
        <f ca="1">IF(E1417="continue",SUM(B$8:B1418),"")</f>
        <v/>
      </c>
      <c r="D1418" s="1" t="str">
        <f t="shared" ca="1" si="113"/>
        <v/>
      </c>
      <c r="E1418" s="13" t="str">
        <f t="shared" ca="1" si="114"/>
        <v>No ruin</v>
      </c>
      <c r="F1418">
        <f t="shared" ref="F1418:F1481" ca="1" si="115">IF(E1418="RUIN",1,0)</f>
        <v>0</v>
      </c>
    </row>
    <row r="1419" spans="1:6">
      <c r="A1419" s="3" t="str">
        <f t="shared" ca="1" si="111"/>
        <v/>
      </c>
      <c r="B1419" s="2" t="str">
        <f t="shared" ca="1" si="112"/>
        <v/>
      </c>
      <c r="C1419" s="2" t="str">
        <f ca="1">IF(E1418="continue",SUM(B$8:B1419),"")</f>
        <v/>
      </c>
      <c r="D1419" s="1" t="str">
        <f t="shared" ca="1" si="113"/>
        <v/>
      </c>
      <c r="E1419" s="13" t="str">
        <f t="shared" ca="1" si="114"/>
        <v>No ruin</v>
      </c>
      <c r="F1419">
        <f t="shared" ca="1" si="115"/>
        <v>0</v>
      </c>
    </row>
    <row r="1420" spans="1:6">
      <c r="A1420" s="3" t="str">
        <f t="shared" ca="1" si="111"/>
        <v/>
      </c>
      <c r="B1420" s="2" t="str">
        <f t="shared" ca="1" si="112"/>
        <v/>
      </c>
      <c r="C1420" s="2" t="str">
        <f ca="1">IF(E1419="continue",SUM(B$8:B1420),"")</f>
        <v/>
      </c>
      <c r="D1420" s="1" t="str">
        <f t="shared" ca="1" si="113"/>
        <v/>
      </c>
      <c r="E1420" s="13" t="str">
        <f t="shared" ca="1" si="114"/>
        <v>No ruin</v>
      </c>
      <c r="F1420">
        <f t="shared" ca="1" si="115"/>
        <v>0</v>
      </c>
    </row>
    <row r="1421" spans="1:6">
      <c r="A1421" s="3" t="str">
        <f t="shared" ca="1" si="111"/>
        <v/>
      </c>
      <c r="B1421" s="2" t="str">
        <f t="shared" ca="1" si="112"/>
        <v/>
      </c>
      <c r="C1421" s="2" t="str">
        <f ca="1">IF(E1420="continue",SUM(B$8:B1421),"")</f>
        <v/>
      </c>
      <c r="D1421" s="1" t="str">
        <f t="shared" ca="1" si="113"/>
        <v/>
      </c>
      <c r="E1421" s="13" t="str">
        <f t="shared" ca="1" si="114"/>
        <v>No ruin</v>
      </c>
      <c r="F1421">
        <f t="shared" ca="1" si="115"/>
        <v>0</v>
      </c>
    </row>
    <row r="1422" spans="1:6">
      <c r="A1422" s="3" t="str">
        <f t="shared" ca="1" si="111"/>
        <v/>
      </c>
      <c r="B1422" s="2" t="str">
        <f t="shared" ca="1" si="112"/>
        <v/>
      </c>
      <c r="C1422" s="2" t="str">
        <f ca="1">IF(E1421="continue",SUM(B$8:B1422),"")</f>
        <v/>
      </c>
      <c r="D1422" s="1" t="str">
        <f t="shared" ca="1" si="113"/>
        <v/>
      </c>
      <c r="E1422" s="13" t="str">
        <f t="shared" ca="1" si="114"/>
        <v>No ruin</v>
      </c>
      <c r="F1422">
        <f t="shared" ca="1" si="115"/>
        <v>0</v>
      </c>
    </row>
    <row r="1423" spans="1:6">
      <c r="A1423" s="3" t="str">
        <f t="shared" ca="1" si="111"/>
        <v/>
      </c>
      <c r="B1423" s="2" t="str">
        <f t="shared" ca="1" si="112"/>
        <v/>
      </c>
      <c r="C1423" s="2" t="str">
        <f ca="1">IF(E1422="continue",SUM(B$8:B1423),"")</f>
        <v/>
      </c>
      <c r="D1423" s="1" t="str">
        <f t="shared" ca="1" si="113"/>
        <v/>
      </c>
      <c r="E1423" s="13" t="str">
        <f t="shared" ca="1" si="114"/>
        <v>No ruin</v>
      </c>
      <c r="F1423">
        <f t="shared" ca="1" si="115"/>
        <v>0</v>
      </c>
    </row>
    <row r="1424" spans="1:6">
      <c r="A1424" s="3" t="str">
        <f t="shared" ca="1" si="111"/>
        <v/>
      </c>
      <c r="B1424" s="2" t="str">
        <f t="shared" ca="1" si="112"/>
        <v/>
      </c>
      <c r="C1424" s="2" t="str">
        <f ca="1">IF(E1423="continue",SUM(B$8:B1424),"")</f>
        <v/>
      </c>
      <c r="D1424" s="1" t="str">
        <f t="shared" ca="1" si="113"/>
        <v/>
      </c>
      <c r="E1424" s="13" t="str">
        <f t="shared" ca="1" si="114"/>
        <v>No ruin</v>
      </c>
      <c r="F1424">
        <f t="shared" ca="1" si="115"/>
        <v>0</v>
      </c>
    </row>
    <row r="1425" spans="1:6">
      <c r="A1425" s="3" t="str">
        <f t="shared" ca="1" si="111"/>
        <v/>
      </c>
      <c r="B1425" s="2" t="str">
        <f t="shared" ca="1" si="112"/>
        <v/>
      </c>
      <c r="C1425" s="2" t="str">
        <f ca="1">IF(E1424="continue",SUM(B$8:B1425),"")</f>
        <v/>
      </c>
      <c r="D1425" s="1" t="str">
        <f t="shared" ca="1" si="113"/>
        <v/>
      </c>
      <c r="E1425" s="13" t="str">
        <f t="shared" ca="1" si="114"/>
        <v>No ruin</v>
      </c>
      <c r="F1425">
        <f t="shared" ca="1" si="115"/>
        <v>0</v>
      </c>
    </row>
    <row r="1426" spans="1:6">
      <c r="A1426" s="3" t="str">
        <f t="shared" ca="1" si="111"/>
        <v/>
      </c>
      <c r="B1426" s="2" t="str">
        <f t="shared" ca="1" si="112"/>
        <v/>
      </c>
      <c r="C1426" s="2" t="str">
        <f ca="1">IF(E1425="continue",SUM(B$8:B1426),"")</f>
        <v/>
      </c>
      <c r="D1426" s="1" t="str">
        <f t="shared" ca="1" si="113"/>
        <v/>
      </c>
      <c r="E1426" s="13" t="str">
        <f t="shared" ca="1" si="114"/>
        <v>No ruin</v>
      </c>
      <c r="F1426">
        <f t="shared" ca="1" si="115"/>
        <v>0</v>
      </c>
    </row>
    <row r="1427" spans="1:6">
      <c r="A1427" s="3" t="str">
        <f t="shared" ca="1" si="111"/>
        <v/>
      </c>
      <c r="B1427" s="2" t="str">
        <f t="shared" ca="1" si="112"/>
        <v/>
      </c>
      <c r="C1427" s="2" t="str">
        <f ca="1">IF(E1426="continue",SUM(B$8:B1427),"")</f>
        <v/>
      </c>
      <c r="D1427" s="1" t="str">
        <f t="shared" ca="1" si="113"/>
        <v/>
      </c>
      <c r="E1427" s="13" t="str">
        <f t="shared" ca="1" si="114"/>
        <v>No ruin</v>
      </c>
      <c r="F1427">
        <f t="shared" ca="1" si="115"/>
        <v>0</v>
      </c>
    </row>
    <row r="1428" spans="1:6">
      <c r="A1428" s="3" t="str">
        <f t="shared" ca="1" si="111"/>
        <v/>
      </c>
      <c r="B1428" s="2" t="str">
        <f t="shared" ca="1" si="112"/>
        <v/>
      </c>
      <c r="C1428" s="2" t="str">
        <f ca="1">IF(E1427="continue",SUM(B$8:B1428),"")</f>
        <v/>
      </c>
      <c r="D1428" s="1" t="str">
        <f t="shared" ca="1" si="113"/>
        <v/>
      </c>
      <c r="E1428" s="13" t="str">
        <f t="shared" ca="1" si="114"/>
        <v>No ruin</v>
      </c>
      <c r="F1428">
        <f t="shared" ca="1" si="115"/>
        <v>0</v>
      </c>
    </row>
    <row r="1429" spans="1:6">
      <c r="A1429" s="3" t="str">
        <f t="shared" ca="1" si="111"/>
        <v/>
      </c>
      <c r="B1429" s="2" t="str">
        <f t="shared" ca="1" si="112"/>
        <v/>
      </c>
      <c r="C1429" s="2" t="str">
        <f ca="1">IF(E1428="continue",SUM(B$8:B1429),"")</f>
        <v/>
      </c>
      <c r="D1429" s="1" t="str">
        <f t="shared" ca="1" si="113"/>
        <v/>
      </c>
      <c r="E1429" s="13" t="str">
        <f t="shared" ca="1" si="114"/>
        <v>No ruin</v>
      </c>
      <c r="F1429">
        <f t="shared" ca="1" si="115"/>
        <v>0</v>
      </c>
    </row>
    <row r="1430" spans="1:6">
      <c r="A1430" s="3" t="str">
        <f t="shared" ca="1" si="111"/>
        <v/>
      </c>
      <c r="B1430" s="2" t="str">
        <f t="shared" ca="1" si="112"/>
        <v/>
      </c>
      <c r="C1430" s="2" t="str">
        <f ca="1">IF(E1429="continue",SUM(B$8:B1430),"")</f>
        <v/>
      </c>
      <c r="D1430" s="1" t="str">
        <f t="shared" ca="1" si="113"/>
        <v/>
      </c>
      <c r="E1430" s="13" t="str">
        <f t="shared" ca="1" si="114"/>
        <v>No ruin</v>
      </c>
      <c r="F1430">
        <f t="shared" ca="1" si="115"/>
        <v>0</v>
      </c>
    </row>
    <row r="1431" spans="1:6">
      <c r="A1431" s="3" t="str">
        <f t="shared" ca="1" si="111"/>
        <v/>
      </c>
      <c r="B1431" s="2" t="str">
        <f t="shared" ca="1" si="112"/>
        <v/>
      </c>
      <c r="C1431" s="2" t="str">
        <f ca="1">IF(E1430="continue",SUM(B$8:B1431),"")</f>
        <v/>
      </c>
      <c r="D1431" s="1" t="str">
        <f t="shared" ca="1" si="113"/>
        <v/>
      </c>
      <c r="E1431" s="13" t="str">
        <f t="shared" ca="1" si="114"/>
        <v>No ruin</v>
      </c>
      <c r="F1431">
        <f t="shared" ca="1" si="115"/>
        <v>0</v>
      </c>
    </row>
    <row r="1432" spans="1:6">
      <c r="A1432" s="3" t="str">
        <f t="shared" ca="1" si="111"/>
        <v/>
      </c>
      <c r="B1432" s="2" t="str">
        <f t="shared" ca="1" si="112"/>
        <v/>
      </c>
      <c r="C1432" s="2" t="str">
        <f ca="1">IF(E1431="continue",SUM(B$8:B1432),"")</f>
        <v/>
      </c>
      <c r="D1432" s="1" t="str">
        <f t="shared" ca="1" si="113"/>
        <v/>
      </c>
      <c r="E1432" s="13" t="str">
        <f t="shared" ca="1" si="114"/>
        <v>No ruin</v>
      </c>
      <c r="F1432">
        <f t="shared" ca="1" si="115"/>
        <v>0</v>
      </c>
    </row>
    <row r="1433" spans="1:6">
      <c r="A1433" s="3" t="str">
        <f t="shared" ca="1" si="111"/>
        <v/>
      </c>
      <c r="B1433" s="2" t="str">
        <f t="shared" ca="1" si="112"/>
        <v/>
      </c>
      <c r="C1433" s="2" t="str">
        <f ca="1">IF(E1432="continue",SUM(B$8:B1433),"")</f>
        <v/>
      </c>
      <c r="D1433" s="1" t="str">
        <f t="shared" ca="1" si="113"/>
        <v/>
      </c>
      <c r="E1433" s="13" t="str">
        <f t="shared" ca="1" si="114"/>
        <v>No ruin</v>
      </c>
      <c r="F1433">
        <f t="shared" ca="1" si="115"/>
        <v>0</v>
      </c>
    </row>
    <row r="1434" spans="1:6">
      <c r="A1434" s="3" t="str">
        <f t="shared" ca="1" si="111"/>
        <v/>
      </c>
      <c r="B1434" s="2" t="str">
        <f t="shared" ca="1" si="112"/>
        <v/>
      </c>
      <c r="C1434" s="2" t="str">
        <f ca="1">IF(E1433="continue",SUM(B$8:B1434),"")</f>
        <v/>
      </c>
      <c r="D1434" s="1" t="str">
        <f t="shared" ca="1" si="113"/>
        <v/>
      </c>
      <c r="E1434" s="13" t="str">
        <f t="shared" ca="1" si="114"/>
        <v>No ruin</v>
      </c>
      <c r="F1434">
        <f t="shared" ca="1" si="115"/>
        <v>0</v>
      </c>
    </row>
    <row r="1435" spans="1:6">
      <c r="A1435" s="3" t="str">
        <f t="shared" ca="1" si="111"/>
        <v/>
      </c>
      <c r="B1435" s="2" t="str">
        <f t="shared" ca="1" si="112"/>
        <v/>
      </c>
      <c r="C1435" s="2" t="str">
        <f ca="1">IF(E1434="continue",SUM(B$8:B1435),"")</f>
        <v/>
      </c>
      <c r="D1435" s="1" t="str">
        <f t="shared" ca="1" si="113"/>
        <v/>
      </c>
      <c r="E1435" s="13" t="str">
        <f t="shared" ca="1" si="114"/>
        <v>No ruin</v>
      </c>
      <c r="F1435">
        <f t="shared" ca="1" si="115"/>
        <v>0</v>
      </c>
    </row>
    <row r="1436" spans="1:6">
      <c r="A1436" s="3" t="str">
        <f t="shared" ref="A1436:A1499" ca="1" si="116">IF(E1435="continue",-LN(1-RAND())*O$3+A1435,"")</f>
        <v/>
      </c>
      <c r="B1436" s="2" t="str">
        <f t="shared" ref="B1436:B1499" ca="1" si="117">IF(E1435="continue",-LN(1-RAND())*M$3,"")</f>
        <v/>
      </c>
      <c r="C1436" s="2" t="str">
        <f ca="1">IF(E1435="continue",SUM(B$8:B1436),"")</f>
        <v/>
      </c>
      <c r="D1436" s="1" t="str">
        <f t="shared" ref="D1436:D1499" ca="1" si="118">IF(E1435="continue",(1+J$1)*(1/O$3)*M$3*A1436,"")</f>
        <v/>
      </c>
      <c r="E1436" s="13" t="str">
        <f t="shared" ref="E1436:E1499" ca="1" si="119">IF(A1436&gt;G$1,"No ruin",IF(AND(A1436&lt;=G$1,C1436&gt;J$4+D1436),"RUIN","continue"))</f>
        <v>No ruin</v>
      </c>
      <c r="F1436">
        <f t="shared" ca="1" si="115"/>
        <v>0</v>
      </c>
    </row>
    <row r="1437" spans="1:6">
      <c r="A1437" s="3" t="str">
        <f t="shared" ca="1" si="116"/>
        <v/>
      </c>
      <c r="B1437" s="2" t="str">
        <f t="shared" ca="1" si="117"/>
        <v/>
      </c>
      <c r="C1437" s="2" t="str">
        <f ca="1">IF(E1436="continue",SUM(B$8:B1437),"")</f>
        <v/>
      </c>
      <c r="D1437" s="1" t="str">
        <f t="shared" ca="1" si="118"/>
        <v/>
      </c>
      <c r="E1437" s="13" t="str">
        <f t="shared" ca="1" si="119"/>
        <v>No ruin</v>
      </c>
      <c r="F1437">
        <f t="shared" ca="1" si="115"/>
        <v>0</v>
      </c>
    </row>
    <row r="1438" spans="1:6">
      <c r="A1438" s="3" t="str">
        <f t="shared" ca="1" si="116"/>
        <v/>
      </c>
      <c r="B1438" s="2" t="str">
        <f t="shared" ca="1" si="117"/>
        <v/>
      </c>
      <c r="C1438" s="2" t="str">
        <f ca="1">IF(E1437="continue",SUM(B$8:B1438),"")</f>
        <v/>
      </c>
      <c r="D1438" s="1" t="str">
        <f t="shared" ca="1" si="118"/>
        <v/>
      </c>
      <c r="E1438" s="13" t="str">
        <f t="shared" ca="1" si="119"/>
        <v>No ruin</v>
      </c>
      <c r="F1438">
        <f t="shared" ca="1" si="115"/>
        <v>0</v>
      </c>
    </row>
    <row r="1439" spans="1:6">
      <c r="A1439" s="3" t="str">
        <f t="shared" ca="1" si="116"/>
        <v/>
      </c>
      <c r="B1439" s="2" t="str">
        <f t="shared" ca="1" si="117"/>
        <v/>
      </c>
      <c r="C1439" s="2" t="str">
        <f ca="1">IF(E1438="continue",SUM(B$8:B1439),"")</f>
        <v/>
      </c>
      <c r="D1439" s="1" t="str">
        <f t="shared" ca="1" si="118"/>
        <v/>
      </c>
      <c r="E1439" s="13" t="str">
        <f t="shared" ca="1" si="119"/>
        <v>No ruin</v>
      </c>
      <c r="F1439">
        <f t="shared" ca="1" si="115"/>
        <v>0</v>
      </c>
    </row>
    <row r="1440" spans="1:6">
      <c r="A1440" s="3" t="str">
        <f t="shared" ca="1" si="116"/>
        <v/>
      </c>
      <c r="B1440" s="2" t="str">
        <f t="shared" ca="1" si="117"/>
        <v/>
      </c>
      <c r="C1440" s="2" t="str">
        <f ca="1">IF(E1439="continue",SUM(B$8:B1440),"")</f>
        <v/>
      </c>
      <c r="D1440" s="1" t="str">
        <f t="shared" ca="1" si="118"/>
        <v/>
      </c>
      <c r="E1440" s="13" t="str">
        <f t="shared" ca="1" si="119"/>
        <v>No ruin</v>
      </c>
      <c r="F1440">
        <f t="shared" ca="1" si="115"/>
        <v>0</v>
      </c>
    </row>
    <row r="1441" spans="1:6">
      <c r="A1441" s="3" t="str">
        <f t="shared" ca="1" si="116"/>
        <v/>
      </c>
      <c r="B1441" s="2" t="str">
        <f t="shared" ca="1" si="117"/>
        <v/>
      </c>
      <c r="C1441" s="2" t="str">
        <f ca="1">IF(E1440="continue",SUM(B$8:B1441),"")</f>
        <v/>
      </c>
      <c r="D1441" s="1" t="str">
        <f t="shared" ca="1" si="118"/>
        <v/>
      </c>
      <c r="E1441" s="13" t="str">
        <f t="shared" ca="1" si="119"/>
        <v>No ruin</v>
      </c>
      <c r="F1441">
        <f t="shared" ca="1" si="115"/>
        <v>0</v>
      </c>
    </row>
    <row r="1442" spans="1:6">
      <c r="A1442" s="3" t="str">
        <f t="shared" ca="1" si="116"/>
        <v/>
      </c>
      <c r="B1442" s="2" t="str">
        <f t="shared" ca="1" si="117"/>
        <v/>
      </c>
      <c r="C1442" s="2" t="str">
        <f ca="1">IF(E1441="continue",SUM(B$8:B1442),"")</f>
        <v/>
      </c>
      <c r="D1442" s="1" t="str">
        <f t="shared" ca="1" si="118"/>
        <v/>
      </c>
      <c r="E1442" s="13" t="str">
        <f t="shared" ca="1" si="119"/>
        <v>No ruin</v>
      </c>
      <c r="F1442">
        <f t="shared" ca="1" si="115"/>
        <v>0</v>
      </c>
    </row>
    <row r="1443" spans="1:6">
      <c r="A1443" s="3" t="str">
        <f t="shared" ca="1" si="116"/>
        <v/>
      </c>
      <c r="B1443" s="2" t="str">
        <f t="shared" ca="1" si="117"/>
        <v/>
      </c>
      <c r="C1443" s="2" t="str">
        <f ca="1">IF(E1442="continue",SUM(B$8:B1443),"")</f>
        <v/>
      </c>
      <c r="D1443" s="1" t="str">
        <f t="shared" ca="1" si="118"/>
        <v/>
      </c>
      <c r="E1443" s="13" t="str">
        <f t="shared" ca="1" si="119"/>
        <v>No ruin</v>
      </c>
      <c r="F1443">
        <f t="shared" ca="1" si="115"/>
        <v>0</v>
      </c>
    </row>
    <row r="1444" spans="1:6">
      <c r="A1444" s="3" t="str">
        <f t="shared" ca="1" si="116"/>
        <v/>
      </c>
      <c r="B1444" s="2" t="str">
        <f t="shared" ca="1" si="117"/>
        <v/>
      </c>
      <c r="C1444" s="2" t="str">
        <f ca="1">IF(E1443="continue",SUM(B$8:B1444),"")</f>
        <v/>
      </c>
      <c r="D1444" s="1" t="str">
        <f t="shared" ca="1" si="118"/>
        <v/>
      </c>
      <c r="E1444" s="13" t="str">
        <f t="shared" ca="1" si="119"/>
        <v>No ruin</v>
      </c>
      <c r="F1444">
        <f t="shared" ca="1" si="115"/>
        <v>0</v>
      </c>
    </row>
    <row r="1445" spans="1:6">
      <c r="A1445" s="3" t="str">
        <f t="shared" ca="1" si="116"/>
        <v/>
      </c>
      <c r="B1445" s="2" t="str">
        <f t="shared" ca="1" si="117"/>
        <v/>
      </c>
      <c r="C1445" s="2" t="str">
        <f ca="1">IF(E1444="continue",SUM(B$8:B1445),"")</f>
        <v/>
      </c>
      <c r="D1445" s="1" t="str">
        <f t="shared" ca="1" si="118"/>
        <v/>
      </c>
      <c r="E1445" s="13" t="str">
        <f t="shared" ca="1" si="119"/>
        <v>No ruin</v>
      </c>
      <c r="F1445">
        <f t="shared" ca="1" si="115"/>
        <v>0</v>
      </c>
    </row>
    <row r="1446" spans="1:6">
      <c r="A1446" s="3" t="str">
        <f t="shared" ca="1" si="116"/>
        <v/>
      </c>
      <c r="B1446" s="2" t="str">
        <f t="shared" ca="1" si="117"/>
        <v/>
      </c>
      <c r="C1446" s="2" t="str">
        <f ca="1">IF(E1445="continue",SUM(B$8:B1446),"")</f>
        <v/>
      </c>
      <c r="D1446" s="1" t="str">
        <f t="shared" ca="1" si="118"/>
        <v/>
      </c>
      <c r="E1446" s="13" t="str">
        <f t="shared" ca="1" si="119"/>
        <v>No ruin</v>
      </c>
      <c r="F1446">
        <f t="shared" ca="1" si="115"/>
        <v>0</v>
      </c>
    </row>
    <row r="1447" spans="1:6">
      <c r="A1447" s="3" t="str">
        <f t="shared" ca="1" si="116"/>
        <v/>
      </c>
      <c r="B1447" s="2" t="str">
        <f t="shared" ca="1" si="117"/>
        <v/>
      </c>
      <c r="C1447" s="2" t="str">
        <f ca="1">IF(E1446="continue",SUM(B$8:B1447),"")</f>
        <v/>
      </c>
      <c r="D1447" s="1" t="str">
        <f t="shared" ca="1" si="118"/>
        <v/>
      </c>
      <c r="E1447" s="13" t="str">
        <f t="shared" ca="1" si="119"/>
        <v>No ruin</v>
      </c>
      <c r="F1447">
        <f t="shared" ca="1" si="115"/>
        <v>0</v>
      </c>
    </row>
    <row r="1448" spans="1:6">
      <c r="A1448" s="3" t="str">
        <f t="shared" ca="1" si="116"/>
        <v/>
      </c>
      <c r="B1448" s="2" t="str">
        <f t="shared" ca="1" si="117"/>
        <v/>
      </c>
      <c r="C1448" s="2" t="str">
        <f ca="1">IF(E1447="continue",SUM(B$8:B1448),"")</f>
        <v/>
      </c>
      <c r="D1448" s="1" t="str">
        <f t="shared" ca="1" si="118"/>
        <v/>
      </c>
      <c r="E1448" s="13" t="str">
        <f t="shared" ca="1" si="119"/>
        <v>No ruin</v>
      </c>
      <c r="F1448">
        <f t="shared" ca="1" si="115"/>
        <v>0</v>
      </c>
    </row>
    <row r="1449" spans="1:6">
      <c r="A1449" s="3" t="str">
        <f t="shared" ca="1" si="116"/>
        <v/>
      </c>
      <c r="B1449" s="2" t="str">
        <f t="shared" ca="1" si="117"/>
        <v/>
      </c>
      <c r="C1449" s="2" t="str">
        <f ca="1">IF(E1448="continue",SUM(B$8:B1449),"")</f>
        <v/>
      </c>
      <c r="D1449" s="1" t="str">
        <f t="shared" ca="1" si="118"/>
        <v/>
      </c>
      <c r="E1449" s="13" t="str">
        <f t="shared" ca="1" si="119"/>
        <v>No ruin</v>
      </c>
      <c r="F1449">
        <f t="shared" ca="1" si="115"/>
        <v>0</v>
      </c>
    </row>
    <row r="1450" spans="1:6">
      <c r="A1450" s="3" t="str">
        <f t="shared" ca="1" si="116"/>
        <v/>
      </c>
      <c r="B1450" s="2" t="str">
        <f t="shared" ca="1" si="117"/>
        <v/>
      </c>
      <c r="C1450" s="2" t="str">
        <f ca="1">IF(E1449="continue",SUM(B$8:B1450),"")</f>
        <v/>
      </c>
      <c r="D1450" s="1" t="str">
        <f t="shared" ca="1" si="118"/>
        <v/>
      </c>
      <c r="E1450" s="13" t="str">
        <f t="shared" ca="1" si="119"/>
        <v>No ruin</v>
      </c>
      <c r="F1450">
        <f t="shared" ca="1" si="115"/>
        <v>0</v>
      </c>
    </row>
    <row r="1451" spans="1:6">
      <c r="A1451" s="3" t="str">
        <f t="shared" ca="1" si="116"/>
        <v/>
      </c>
      <c r="B1451" s="2" t="str">
        <f t="shared" ca="1" si="117"/>
        <v/>
      </c>
      <c r="C1451" s="2" t="str">
        <f ca="1">IF(E1450="continue",SUM(B$8:B1451),"")</f>
        <v/>
      </c>
      <c r="D1451" s="1" t="str">
        <f t="shared" ca="1" si="118"/>
        <v/>
      </c>
      <c r="E1451" s="13" t="str">
        <f t="shared" ca="1" si="119"/>
        <v>No ruin</v>
      </c>
      <c r="F1451">
        <f t="shared" ca="1" si="115"/>
        <v>0</v>
      </c>
    </row>
    <row r="1452" spans="1:6">
      <c r="A1452" s="3" t="str">
        <f t="shared" ca="1" si="116"/>
        <v/>
      </c>
      <c r="B1452" s="2" t="str">
        <f t="shared" ca="1" si="117"/>
        <v/>
      </c>
      <c r="C1452" s="2" t="str">
        <f ca="1">IF(E1451="continue",SUM(B$8:B1452),"")</f>
        <v/>
      </c>
      <c r="D1452" s="1" t="str">
        <f t="shared" ca="1" si="118"/>
        <v/>
      </c>
      <c r="E1452" s="13" t="str">
        <f t="shared" ca="1" si="119"/>
        <v>No ruin</v>
      </c>
      <c r="F1452">
        <f t="shared" ca="1" si="115"/>
        <v>0</v>
      </c>
    </row>
    <row r="1453" spans="1:6">
      <c r="A1453" s="3" t="str">
        <f t="shared" ca="1" si="116"/>
        <v/>
      </c>
      <c r="B1453" s="2" t="str">
        <f t="shared" ca="1" si="117"/>
        <v/>
      </c>
      <c r="C1453" s="2" t="str">
        <f ca="1">IF(E1452="continue",SUM(B$8:B1453),"")</f>
        <v/>
      </c>
      <c r="D1453" s="1" t="str">
        <f t="shared" ca="1" si="118"/>
        <v/>
      </c>
      <c r="E1453" s="13" t="str">
        <f t="shared" ca="1" si="119"/>
        <v>No ruin</v>
      </c>
      <c r="F1453">
        <f t="shared" ca="1" si="115"/>
        <v>0</v>
      </c>
    </row>
    <row r="1454" spans="1:6">
      <c r="A1454" s="3" t="str">
        <f t="shared" ca="1" si="116"/>
        <v/>
      </c>
      <c r="B1454" s="2" t="str">
        <f t="shared" ca="1" si="117"/>
        <v/>
      </c>
      <c r="C1454" s="2" t="str">
        <f ca="1">IF(E1453="continue",SUM(B$8:B1454),"")</f>
        <v/>
      </c>
      <c r="D1454" s="1" t="str">
        <f t="shared" ca="1" si="118"/>
        <v/>
      </c>
      <c r="E1454" s="13" t="str">
        <f t="shared" ca="1" si="119"/>
        <v>No ruin</v>
      </c>
      <c r="F1454">
        <f t="shared" ca="1" si="115"/>
        <v>0</v>
      </c>
    </row>
    <row r="1455" spans="1:6">
      <c r="A1455" s="3" t="str">
        <f t="shared" ca="1" si="116"/>
        <v/>
      </c>
      <c r="B1455" s="2" t="str">
        <f t="shared" ca="1" si="117"/>
        <v/>
      </c>
      <c r="C1455" s="2" t="str">
        <f ca="1">IF(E1454="continue",SUM(B$8:B1455),"")</f>
        <v/>
      </c>
      <c r="D1455" s="1" t="str">
        <f t="shared" ca="1" si="118"/>
        <v/>
      </c>
      <c r="E1455" s="13" t="str">
        <f t="shared" ca="1" si="119"/>
        <v>No ruin</v>
      </c>
      <c r="F1455">
        <f t="shared" ca="1" si="115"/>
        <v>0</v>
      </c>
    </row>
    <row r="1456" spans="1:6">
      <c r="A1456" s="3" t="str">
        <f t="shared" ca="1" si="116"/>
        <v/>
      </c>
      <c r="B1456" s="2" t="str">
        <f t="shared" ca="1" si="117"/>
        <v/>
      </c>
      <c r="C1456" s="2" t="str">
        <f ca="1">IF(E1455="continue",SUM(B$8:B1456),"")</f>
        <v/>
      </c>
      <c r="D1456" s="1" t="str">
        <f t="shared" ca="1" si="118"/>
        <v/>
      </c>
      <c r="E1456" s="13" t="str">
        <f t="shared" ca="1" si="119"/>
        <v>No ruin</v>
      </c>
      <c r="F1456">
        <f t="shared" ca="1" si="115"/>
        <v>0</v>
      </c>
    </row>
    <row r="1457" spans="1:6">
      <c r="A1457" s="3" t="str">
        <f t="shared" ca="1" si="116"/>
        <v/>
      </c>
      <c r="B1457" s="2" t="str">
        <f t="shared" ca="1" si="117"/>
        <v/>
      </c>
      <c r="C1457" s="2" t="str">
        <f ca="1">IF(E1456="continue",SUM(B$8:B1457),"")</f>
        <v/>
      </c>
      <c r="D1457" s="1" t="str">
        <f t="shared" ca="1" si="118"/>
        <v/>
      </c>
      <c r="E1457" s="13" t="str">
        <f t="shared" ca="1" si="119"/>
        <v>No ruin</v>
      </c>
      <c r="F1457">
        <f t="shared" ca="1" si="115"/>
        <v>0</v>
      </c>
    </row>
    <row r="1458" spans="1:6">
      <c r="A1458" s="3" t="str">
        <f t="shared" ca="1" si="116"/>
        <v/>
      </c>
      <c r="B1458" s="2" t="str">
        <f t="shared" ca="1" si="117"/>
        <v/>
      </c>
      <c r="C1458" s="2" t="str">
        <f ca="1">IF(E1457="continue",SUM(B$8:B1458),"")</f>
        <v/>
      </c>
      <c r="D1458" s="1" t="str">
        <f t="shared" ca="1" si="118"/>
        <v/>
      </c>
      <c r="E1458" s="13" t="str">
        <f t="shared" ca="1" si="119"/>
        <v>No ruin</v>
      </c>
      <c r="F1458">
        <f t="shared" ca="1" si="115"/>
        <v>0</v>
      </c>
    </row>
    <row r="1459" spans="1:6">
      <c r="A1459" s="3" t="str">
        <f t="shared" ca="1" si="116"/>
        <v/>
      </c>
      <c r="B1459" s="2" t="str">
        <f t="shared" ca="1" si="117"/>
        <v/>
      </c>
      <c r="C1459" s="2" t="str">
        <f ca="1">IF(E1458="continue",SUM(B$8:B1459),"")</f>
        <v/>
      </c>
      <c r="D1459" s="1" t="str">
        <f t="shared" ca="1" si="118"/>
        <v/>
      </c>
      <c r="E1459" s="13" t="str">
        <f t="shared" ca="1" si="119"/>
        <v>No ruin</v>
      </c>
      <c r="F1459">
        <f t="shared" ca="1" si="115"/>
        <v>0</v>
      </c>
    </row>
    <row r="1460" spans="1:6">
      <c r="A1460" s="3" t="str">
        <f t="shared" ca="1" si="116"/>
        <v/>
      </c>
      <c r="B1460" s="2" t="str">
        <f t="shared" ca="1" si="117"/>
        <v/>
      </c>
      <c r="C1460" s="2" t="str">
        <f ca="1">IF(E1459="continue",SUM(B$8:B1460),"")</f>
        <v/>
      </c>
      <c r="D1460" s="1" t="str">
        <f t="shared" ca="1" si="118"/>
        <v/>
      </c>
      <c r="E1460" s="13" t="str">
        <f t="shared" ca="1" si="119"/>
        <v>No ruin</v>
      </c>
      <c r="F1460">
        <f t="shared" ca="1" si="115"/>
        <v>0</v>
      </c>
    </row>
    <row r="1461" spans="1:6">
      <c r="A1461" s="3" t="str">
        <f t="shared" ca="1" si="116"/>
        <v/>
      </c>
      <c r="B1461" s="2" t="str">
        <f t="shared" ca="1" si="117"/>
        <v/>
      </c>
      <c r="C1461" s="2" t="str">
        <f ca="1">IF(E1460="continue",SUM(B$8:B1461),"")</f>
        <v/>
      </c>
      <c r="D1461" s="1" t="str">
        <f t="shared" ca="1" si="118"/>
        <v/>
      </c>
      <c r="E1461" s="13" t="str">
        <f t="shared" ca="1" si="119"/>
        <v>No ruin</v>
      </c>
      <c r="F1461">
        <f t="shared" ca="1" si="115"/>
        <v>0</v>
      </c>
    </row>
    <row r="1462" spans="1:6">
      <c r="A1462" s="3" t="str">
        <f t="shared" ca="1" si="116"/>
        <v/>
      </c>
      <c r="B1462" s="2" t="str">
        <f t="shared" ca="1" si="117"/>
        <v/>
      </c>
      <c r="C1462" s="2" t="str">
        <f ca="1">IF(E1461="continue",SUM(B$8:B1462),"")</f>
        <v/>
      </c>
      <c r="D1462" s="1" t="str">
        <f t="shared" ca="1" si="118"/>
        <v/>
      </c>
      <c r="E1462" s="13" t="str">
        <f t="shared" ca="1" si="119"/>
        <v>No ruin</v>
      </c>
      <c r="F1462">
        <f t="shared" ca="1" si="115"/>
        <v>0</v>
      </c>
    </row>
    <row r="1463" spans="1:6">
      <c r="A1463" s="3" t="str">
        <f t="shared" ca="1" si="116"/>
        <v/>
      </c>
      <c r="B1463" s="2" t="str">
        <f t="shared" ca="1" si="117"/>
        <v/>
      </c>
      <c r="C1463" s="2" t="str">
        <f ca="1">IF(E1462="continue",SUM(B$8:B1463),"")</f>
        <v/>
      </c>
      <c r="D1463" s="1" t="str">
        <f t="shared" ca="1" si="118"/>
        <v/>
      </c>
      <c r="E1463" s="13" t="str">
        <f t="shared" ca="1" si="119"/>
        <v>No ruin</v>
      </c>
      <c r="F1463">
        <f t="shared" ca="1" si="115"/>
        <v>0</v>
      </c>
    </row>
    <row r="1464" spans="1:6">
      <c r="A1464" s="3" t="str">
        <f t="shared" ca="1" si="116"/>
        <v/>
      </c>
      <c r="B1464" s="2" t="str">
        <f t="shared" ca="1" si="117"/>
        <v/>
      </c>
      <c r="C1464" s="2" t="str">
        <f ca="1">IF(E1463="continue",SUM(B$8:B1464),"")</f>
        <v/>
      </c>
      <c r="D1464" s="1" t="str">
        <f t="shared" ca="1" si="118"/>
        <v/>
      </c>
      <c r="E1464" s="13" t="str">
        <f t="shared" ca="1" si="119"/>
        <v>No ruin</v>
      </c>
      <c r="F1464">
        <f t="shared" ca="1" si="115"/>
        <v>0</v>
      </c>
    </row>
    <row r="1465" spans="1:6">
      <c r="A1465" s="3" t="str">
        <f t="shared" ca="1" si="116"/>
        <v/>
      </c>
      <c r="B1465" s="2" t="str">
        <f t="shared" ca="1" si="117"/>
        <v/>
      </c>
      <c r="C1465" s="2" t="str">
        <f ca="1">IF(E1464="continue",SUM(B$8:B1465),"")</f>
        <v/>
      </c>
      <c r="D1465" s="1" t="str">
        <f t="shared" ca="1" si="118"/>
        <v/>
      </c>
      <c r="E1465" s="13" t="str">
        <f t="shared" ca="1" si="119"/>
        <v>No ruin</v>
      </c>
      <c r="F1465">
        <f t="shared" ca="1" si="115"/>
        <v>0</v>
      </c>
    </row>
    <row r="1466" spans="1:6">
      <c r="A1466" s="3" t="str">
        <f t="shared" ca="1" si="116"/>
        <v/>
      </c>
      <c r="B1466" s="2" t="str">
        <f t="shared" ca="1" si="117"/>
        <v/>
      </c>
      <c r="C1466" s="2" t="str">
        <f ca="1">IF(E1465="continue",SUM(B$8:B1466),"")</f>
        <v/>
      </c>
      <c r="D1466" s="1" t="str">
        <f t="shared" ca="1" si="118"/>
        <v/>
      </c>
      <c r="E1466" s="13" t="str">
        <f t="shared" ca="1" si="119"/>
        <v>No ruin</v>
      </c>
      <c r="F1466">
        <f t="shared" ca="1" si="115"/>
        <v>0</v>
      </c>
    </row>
    <row r="1467" spans="1:6">
      <c r="A1467" s="3" t="str">
        <f t="shared" ca="1" si="116"/>
        <v/>
      </c>
      <c r="B1467" s="2" t="str">
        <f t="shared" ca="1" si="117"/>
        <v/>
      </c>
      <c r="C1467" s="2" t="str">
        <f ca="1">IF(E1466="continue",SUM(B$8:B1467),"")</f>
        <v/>
      </c>
      <c r="D1467" s="1" t="str">
        <f t="shared" ca="1" si="118"/>
        <v/>
      </c>
      <c r="E1467" s="13" t="str">
        <f t="shared" ca="1" si="119"/>
        <v>No ruin</v>
      </c>
      <c r="F1467">
        <f t="shared" ca="1" si="115"/>
        <v>0</v>
      </c>
    </row>
    <row r="1468" spans="1:6">
      <c r="A1468" s="3" t="str">
        <f t="shared" ca="1" si="116"/>
        <v/>
      </c>
      <c r="B1468" s="2" t="str">
        <f t="shared" ca="1" si="117"/>
        <v/>
      </c>
      <c r="C1468" s="2" t="str">
        <f ca="1">IF(E1467="continue",SUM(B$8:B1468),"")</f>
        <v/>
      </c>
      <c r="D1468" s="1" t="str">
        <f t="shared" ca="1" si="118"/>
        <v/>
      </c>
      <c r="E1468" s="13" t="str">
        <f t="shared" ca="1" si="119"/>
        <v>No ruin</v>
      </c>
      <c r="F1468">
        <f t="shared" ca="1" si="115"/>
        <v>0</v>
      </c>
    </row>
    <row r="1469" spans="1:6">
      <c r="A1469" s="3" t="str">
        <f t="shared" ca="1" si="116"/>
        <v/>
      </c>
      <c r="B1469" s="2" t="str">
        <f t="shared" ca="1" si="117"/>
        <v/>
      </c>
      <c r="C1469" s="2" t="str">
        <f ca="1">IF(E1468="continue",SUM(B$8:B1469),"")</f>
        <v/>
      </c>
      <c r="D1469" s="1" t="str">
        <f t="shared" ca="1" si="118"/>
        <v/>
      </c>
      <c r="E1469" s="13" t="str">
        <f t="shared" ca="1" si="119"/>
        <v>No ruin</v>
      </c>
      <c r="F1469">
        <f t="shared" ca="1" si="115"/>
        <v>0</v>
      </c>
    </row>
    <row r="1470" spans="1:6">
      <c r="A1470" s="3" t="str">
        <f t="shared" ca="1" si="116"/>
        <v/>
      </c>
      <c r="B1470" s="2" t="str">
        <f t="shared" ca="1" si="117"/>
        <v/>
      </c>
      <c r="C1470" s="2" t="str">
        <f ca="1">IF(E1469="continue",SUM(B$8:B1470),"")</f>
        <v/>
      </c>
      <c r="D1470" s="1" t="str">
        <f t="shared" ca="1" si="118"/>
        <v/>
      </c>
      <c r="E1470" s="13" t="str">
        <f t="shared" ca="1" si="119"/>
        <v>No ruin</v>
      </c>
      <c r="F1470">
        <f t="shared" ca="1" si="115"/>
        <v>0</v>
      </c>
    </row>
    <row r="1471" spans="1:6">
      <c r="A1471" s="3" t="str">
        <f t="shared" ca="1" si="116"/>
        <v/>
      </c>
      <c r="B1471" s="2" t="str">
        <f t="shared" ca="1" si="117"/>
        <v/>
      </c>
      <c r="C1471" s="2" t="str">
        <f ca="1">IF(E1470="continue",SUM(B$8:B1471),"")</f>
        <v/>
      </c>
      <c r="D1471" s="1" t="str">
        <f t="shared" ca="1" si="118"/>
        <v/>
      </c>
      <c r="E1471" s="13" t="str">
        <f t="shared" ca="1" si="119"/>
        <v>No ruin</v>
      </c>
      <c r="F1471">
        <f t="shared" ca="1" si="115"/>
        <v>0</v>
      </c>
    </row>
    <row r="1472" spans="1:6">
      <c r="A1472" s="3" t="str">
        <f t="shared" ca="1" si="116"/>
        <v/>
      </c>
      <c r="B1472" s="2" t="str">
        <f t="shared" ca="1" si="117"/>
        <v/>
      </c>
      <c r="C1472" s="2" t="str">
        <f ca="1">IF(E1471="continue",SUM(B$8:B1472),"")</f>
        <v/>
      </c>
      <c r="D1472" s="1" t="str">
        <f t="shared" ca="1" si="118"/>
        <v/>
      </c>
      <c r="E1472" s="13" t="str">
        <f t="shared" ca="1" si="119"/>
        <v>No ruin</v>
      </c>
      <c r="F1472">
        <f t="shared" ca="1" si="115"/>
        <v>0</v>
      </c>
    </row>
    <row r="1473" spans="1:6">
      <c r="A1473" s="3" t="str">
        <f t="shared" ca="1" si="116"/>
        <v/>
      </c>
      <c r="B1473" s="2" t="str">
        <f t="shared" ca="1" si="117"/>
        <v/>
      </c>
      <c r="C1473" s="2" t="str">
        <f ca="1">IF(E1472="continue",SUM(B$8:B1473),"")</f>
        <v/>
      </c>
      <c r="D1473" s="1" t="str">
        <f t="shared" ca="1" si="118"/>
        <v/>
      </c>
      <c r="E1473" s="13" t="str">
        <f t="shared" ca="1" si="119"/>
        <v>No ruin</v>
      </c>
      <c r="F1473">
        <f t="shared" ca="1" si="115"/>
        <v>0</v>
      </c>
    </row>
    <row r="1474" spans="1:6">
      <c r="A1474" s="3" t="str">
        <f t="shared" ca="1" si="116"/>
        <v/>
      </c>
      <c r="B1474" s="2" t="str">
        <f t="shared" ca="1" si="117"/>
        <v/>
      </c>
      <c r="C1474" s="2" t="str">
        <f ca="1">IF(E1473="continue",SUM(B$8:B1474),"")</f>
        <v/>
      </c>
      <c r="D1474" s="1" t="str">
        <f t="shared" ca="1" si="118"/>
        <v/>
      </c>
      <c r="E1474" s="13" t="str">
        <f t="shared" ca="1" si="119"/>
        <v>No ruin</v>
      </c>
      <c r="F1474">
        <f t="shared" ca="1" si="115"/>
        <v>0</v>
      </c>
    </row>
    <row r="1475" spans="1:6">
      <c r="A1475" s="3" t="str">
        <f t="shared" ca="1" si="116"/>
        <v/>
      </c>
      <c r="B1475" s="2" t="str">
        <f t="shared" ca="1" si="117"/>
        <v/>
      </c>
      <c r="C1475" s="2" t="str">
        <f ca="1">IF(E1474="continue",SUM(B$8:B1475),"")</f>
        <v/>
      </c>
      <c r="D1475" s="1" t="str">
        <f t="shared" ca="1" si="118"/>
        <v/>
      </c>
      <c r="E1475" s="13" t="str">
        <f t="shared" ca="1" si="119"/>
        <v>No ruin</v>
      </c>
      <c r="F1475">
        <f t="shared" ca="1" si="115"/>
        <v>0</v>
      </c>
    </row>
    <row r="1476" spans="1:6">
      <c r="A1476" s="3" t="str">
        <f t="shared" ca="1" si="116"/>
        <v/>
      </c>
      <c r="B1476" s="2" t="str">
        <f t="shared" ca="1" si="117"/>
        <v/>
      </c>
      <c r="C1476" s="2" t="str">
        <f ca="1">IF(E1475="continue",SUM(B$8:B1476),"")</f>
        <v/>
      </c>
      <c r="D1476" s="1" t="str">
        <f t="shared" ca="1" si="118"/>
        <v/>
      </c>
      <c r="E1476" s="13" t="str">
        <f t="shared" ca="1" si="119"/>
        <v>No ruin</v>
      </c>
      <c r="F1476">
        <f t="shared" ca="1" si="115"/>
        <v>0</v>
      </c>
    </row>
    <row r="1477" spans="1:6">
      <c r="A1477" s="3" t="str">
        <f t="shared" ca="1" si="116"/>
        <v/>
      </c>
      <c r="B1477" s="2" t="str">
        <f t="shared" ca="1" si="117"/>
        <v/>
      </c>
      <c r="C1477" s="2" t="str">
        <f ca="1">IF(E1476="continue",SUM(B$8:B1477),"")</f>
        <v/>
      </c>
      <c r="D1477" s="1" t="str">
        <f t="shared" ca="1" si="118"/>
        <v/>
      </c>
      <c r="E1477" s="13" t="str">
        <f t="shared" ca="1" si="119"/>
        <v>No ruin</v>
      </c>
      <c r="F1477">
        <f t="shared" ca="1" si="115"/>
        <v>0</v>
      </c>
    </row>
    <row r="1478" spans="1:6">
      <c r="A1478" s="3" t="str">
        <f t="shared" ca="1" si="116"/>
        <v/>
      </c>
      <c r="B1478" s="2" t="str">
        <f t="shared" ca="1" si="117"/>
        <v/>
      </c>
      <c r="C1478" s="2" t="str">
        <f ca="1">IF(E1477="continue",SUM(B$8:B1478),"")</f>
        <v/>
      </c>
      <c r="D1478" s="1" t="str">
        <f t="shared" ca="1" si="118"/>
        <v/>
      </c>
      <c r="E1478" s="13" t="str">
        <f t="shared" ca="1" si="119"/>
        <v>No ruin</v>
      </c>
      <c r="F1478">
        <f t="shared" ca="1" si="115"/>
        <v>0</v>
      </c>
    </row>
    <row r="1479" spans="1:6">
      <c r="A1479" s="3" t="str">
        <f t="shared" ca="1" si="116"/>
        <v/>
      </c>
      <c r="B1479" s="2" t="str">
        <f t="shared" ca="1" si="117"/>
        <v/>
      </c>
      <c r="C1479" s="2" t="str">
        <f ca="1">IF(E1478="continue",SUM(B$8:B1479),"")</f>
        <v/>
      </c>
      <c r="D1479" s="1" t="str">
        <f t="shared" ca="1" si="118"/>
        <v/>
      </c>
      <c r="E1479" s="13" t="str">
        <f t="shared" ca="1" si="119"/>
        <v>No ruin</v>
      </c>
      <c r="F1479">
        <f t="shared" ca="1" si="115"/>
        <v>0</v>
      </c>
    </row>
    <row r="1480" spans="1:6">
      <c r="A1480" s="3" t="str">
        <f t="shared" ca="1" si="116"/>
        <v/>
      </c>
      <c r="B1480" s="2" t="str">
        <f t="shared" ca="1" si="117"/>
        <v/>
      </c>
      <c r="C1480" s="2" t="str">
        <f ca="1">IF(E1479="continue",SUM(B$8:B1480),"")</f>
        <v/>
      </c>
      <c r="D1480" s="1" t="str">
        <f t="shared" ca="1" si="118"/>
        <v/>
      </c>
      <c r="E1480" s="13" t="str">
        <f t="shared" ca="1" si="119"/>
        <v>No ruin</v>
      </c>
      <c r="F1480">
        <f t="shared" ca="1" si="115"/>
        <v>0</v>
      </c>
    </row>
    <row r="1481" spans="1:6">
      <c r="A1481" s="3" t="str">
        <f t="shared" ca="1" si="116"/>
        <v/>
      </c>
      <c r="B1481" s="2" t="str">
        <f t="shared" ca="1" si="117"/>
        <v/>
      </c>
      <c r="C1481" s="2" t="str">
        <f ca="1">IF(E1480="continue",SUM(B$8:B1481),"")</f>
        <v/>
      </c>
      <c r="D1481" s="1" t="str">
        <f t="shared" ca="1" si="118"/>
        <v/>
      </c>
      <c r="E1481" s="13" t="str">
        <f t="shared" ca="1" si="119"/>
        <v>No ruin</v>
      </c>
      <c r="F1481">
        <f t="shared" ca="1" si="115"/>
        <v>0</v>
      </c>
    </row>
    <row r="1482" spans="1:6">
      <c r="A1482" s="3" t="str">
        <f t="shared" ca="1" si="116"/>
        <v/>
      </c>
      <c r="B1482" s="2" t="str">
        <f t="shared" ca="1" si="117"/>
        <v/>
      </c>
      <c r="C1482" s="2" t="str">
        <f ca="1">IF(E1481="continue",SUM(B$8:B1482),"")</f>
        <v/>
      </c>
      <c r="D1482" s="1" t="str">
        <f t="shared" ca="1" si="118"/>
        <v/>
      </c>
      <c r="E1482" s="13" t="str">
        <f t="shared" ca="1" si="119"/>
        <v>No ruin</v>
      </c>
      <c r="F1482">
        <f t="shared" ref="F1482:F1523" ca="1" si="120">IF(E1482="RUIN",1,0)</f>
        <v>0</v>
      </c>
    </row>
    <row r="1483" spans="1:6">
      <c r="A1483" s="3" t="str">
        <f t="shared" ca="1" si="116"/>
        <v/>
      </c>
      <c r="B1483" s="2" t="str">
        <f t="shared" ca="1" si="117"/>
        <v/>
      </c>
      <c r="C1483" s="2" t="str">
        <f ca="1">IF(E1482="continue",SUM(B$8:B1483),"")</f>
        <v/>
      </c>
      <c r="D1483" s="1" t="str">
        <f t="shared" ca="1" si="118"/>
        <v/>
      </c>
      <c r="E1483" s="13" t="str">
        <f t="shared" ca="1" si="119"/>
        <v>No ruin</v>
      </c>
      <c r="F1483">
        <f t="shared" ca="1" si="120"/>
        <v>0</v>
      </c>
    </row>
    <row r="1484" spans="1:6">
      <c r="A1484" s="3" t="str">
        <f t="shared" ca="1" si="116"/>
        <v/>
      </c>
      <c r="B1484" s="2" t="str">
        <f t="shared" ca="1" si="117"/>
        <v/>
      </c>
      <c r="C1484" s="2" t="str">
        <f ca="1">IF(E1483="continue",SUM(B$8:B1484),"")</f>
        <v/>
      </c>
      <c r="D1484" s="1" t="str">
        <f t="shared" ca="1" si="118"/>
        <v/>
      </c>
      <c r="E1484" s="13" t="str">
        <f t="shared" ca="1" si="119"/>
        <v>No ruin</v>
      </c>
      <c r="F1484">
        <f t="shared" ca="1" si="120"/>
        <v>0</v>
      </c>
    </row>
    <row r="1485" spans="1:6">
      <c r="A1485" s="3" t="str">
        <f t="shared" ca="1" si="116"/>
        <v/>
      </c>
      <c r="B1485" s="2" t="str">
        <f t="shared" ca="1" si="117"/>
        <v/>
      </c>
      <c r="C1485" s="2" t="str">
        <f ca="1">IF(E1484="continue",SUM(B$8:B1485),"")</f>
        <v/>
      </c>
      <c r="D1485" s="1" t="str">
        <f t="shared" ca="1" si="118"/>
        <v/>
      </c>
      <c r="E1485" s="13" t="str">
        <f t="shared" ca="1" si="119"/>
        <v>No ruin</v>
      </c>
      <c r="F1485">
        <f t="shared" ca="1" si="120"/>
        <v>0</v>
      </c>
    </row>
    <row r="1486" spans="1:6">
      <c r="A1486" s="3" t="str">
        <f t="shared" ca="1" si="116"/>
        <v/>
      </c>
      <c r="B1486" s="2" t="str">
        <f t="shared" ca="1" si="117"/>
        <v/>
      </c>
      <c r="C1486" s="2" t="str">
        <f ca="1">IF(E1485="continue",SUM(B$8:B1486),"")</f>
        <v/>
      </c>
      <c r="D1486" s="1" t="str">
        <f t="shared" ca="1" si="118"/>
        <v/>
      </c>
      <c r="E1486" s="13" t="str">
        <f t="shared" ca="1" si="119"/>
        <v>No ruin</v>
      </c>
      <c r="F1486">
        <f t="shared" ca="1" si="120"/>
        <v>0</v>
      </c>
    </row>
    <row r="1487" spans="1:6">
      <c r="A1487" s="3" t="str">
        <f t="shared" ca="1" si="116"/>
        <v/>
      </c>
      <c r="B1487" s="2" t="str">
        <f t="shared" ca="1" si="117"/>
        <v/>
      </c>
      <c r="C1487" s="2" t="str">
        <f ca="1">IF(E1486="continue",SUM(B$8:B1487),"")</f>
        <v/>
      </c>
      <c r="D1487" s="1" t="str">
        <f t="shared" ca="1" si="118"/>
        <v/>
      </c>
      <c r="E1487" s="13" t="str">
        <f t="shared" ca="1" si="119"/>
        <v>No ruin</v>
      </c>
      <c r="F1487">
        <f t="shared" ca="1" si="120"/>
        <v>0</v>
      </c>
    </row>
    <row r="1488" spans="1:6">
      <c r="A1488" s="3" t="str">
        <f t="shared" ca="1" si="116"/>
        <v/>
      </c>
      <c r="B1488" s="2" t="str">
        <f t="shared" ca="1" si="117"/>
        <v/>
      </c>
      <c r="C1488" s="2" t="str">
        <f ca="1">IF(E1487="continue",SUM(B$8:B1488),"")</f>
        <v/>
      </c>
      <c r="D1488" s="1" t="str">
        <f t="shared" ca="1" si="118"/>
        <v/>
      </c>
      <c r="E1488" s="13" t="str">
        <f t="shared" ca="1" si="119"/>
        <v>No ruin</v>
      </c>
      <c r="F1488">
        <f t="shared" ca="1" si="120"/>
        <v>0</v>
      </c>
    </row>
    <row r="1489" spans="1:6">
      <c r="A1489" s="3" t="str">
        <f t="shared" ca="1" si="116"/>
        <v/>
      </c>
      <c r="B1489" s="2" t="str">
        <f t="shared" ca="1" si="117"/>
        <v/>
      </c>
      <c r="C1489" s="2" t="str">
        <f ca="1">IF(E1488="continue",SUM(B$8:B1489),"")</f>
        <v/>
      </c>
      <c r="D1489" s="1" t="str">
        <f t="shared" ca="1" si="118"/>
        <v/>
      </c>
      <c r="E1489" s="13" t="str">
        <f t="shared" ca="1" si="119"/>
        <v>No ruin</v>
      </c>
      <c r="F1489">
        <f t="shared" ca="1" si="120"/>
        <v>0</v>
      </c>
    </row>
    <row r="1490" spans="1:6">
      <c r="A1490" s="3" t="str">
        <f t="shared" ca="1" si="116"/>
        <v/>
      </c>
      <c r="B1490" s="2" t="str">
        <f t="shared" ca="1" si="117"/>
        <v/>
      </c>
      <c r="C1490" s="2" t="str">
        <f ca="1">IF(E1489="continue",SUM(B$8:B1490),"")</f>
        <v/>
      </c>
      <c r="D1490" s="1" t="str">
        <f t="shared" ca="1" si="118"/>
        <v/>
      </c>
      <c r="E1490" s="13" t="str">
        <f t="shared" ca="1" si="119"/>
        <v>No ruin</v>
      </c>
      <c r="F1490">
        <f t="shared" ca="1" si="120"/>
        <v>0</v>
      </c>
    </row>
    <row r="1491" spans="1:6">
      <c r="A1491" s="3" t="str">
        <f t="shared" ca="1" si="116"/>
        <v/>
      </c>
      <c r="B1491" s="2" t="str">
        <f t="shared" ca="1" si="117"/>
        <v/>
      </c>
      <c r="C1491" s="2" t="str">
        <f ca="1">IF(E1490="continue",SUM(B$8:B1491),"")</f>
        <v/>
      </c>
      <c r="D1491" s="1" t="str">
        <f t="shared" ca="1" si="118"/>
        <v/>
      </c>
      <c r="E1491" s="13" t="str">
        <f t="shared" ca="1" si="119"/>
        <v>No ruin</v>
      </c>
      <c r="F1491">
        <f t="shared" ca="1" si="120"/>
        <v>0</v>
      </c>
    </row>
    <row r="1492" spans="1:6">
      <c r="A1492" s="3" t="str">
        <f t="shared" ca="1" si="116"/>
        <v/>
      </c>
      <c r="B1492" s="2" t="str">
        <f t="shared" ca="1" si="117"/>
        <v/>
      </c>
      <c r="C1492" s="2" t="str">
        <f ca="1">IF(E1491="continue",SUM(B$8:B1492),"")</f>
        <v/>
      </c>
      <c r="D1492" s="1" t="str">
        <f t="shared" ca="1" si="118"/>
        <v/>
      </c>
      <c r="E1492" s="13" t="str">
        <f t="shared" ca="1" si="119"/>
        <v>No ruin</v>
      </c>
      <c r="F1492">
        <f t="shared" ca="1" si="120"/>
        <v>0</v>
      </c>
    </row>
    <row r="1493" spans="1:6">
      <c r="A1493" s="3" t="str">
        <f t="shared" ca="1" si="116"/>
        <v/>
      </c>
      <c r="B1493" s="2" t="str">
        <f t="shared" ca="1" si="117"/>
        <v/>
      </c>
      <c r="C1493" s="2" t="str">
        <f ca="1">IF(E1492="continue",SUM(B$8:B1493),"")</f>
        <v/>
      </c>
      <c r="D1493" s="1" t="str">
        <f t="shared" ca="1" si="118"/>
        <v/>
      </c>
      <c r="E1493" s="13" t="str">
        <f t="shared" ca="1" si="119"/>
        <v>No ruin</v>
      </c>
      <c r="F1493">
        <f t="shared" ca="1" si="120"/>
        <v>0</v>
      </c>
    </row>
    <row r="1494" spans="1:6">
      <c r="A1494" s="3" t="str">
        <f t="shared" ca="1" si="116"/>
        <v/>
      </c>
      <c r="B1494" s="2" t="str">
        <f t="shared" ca="1" si="117"/>
        <v/>
      </c>
      <c r="C1494" s="2" t="str">
        <f ca="1">IF(E1493="continue",SUM(B$8:B1494),"")</f>
        <v/>
      </c>
      <c r="D1494" s="1" t="str">
        <f t="shared" ca="1" si="118"/>
        <v/>
      </c>
      <c r="E1494" s="13" t="str">
        <f t="shared" ca="1" si="119"/>
        <v>No ruin</v>
      </c>
      <c r="F1494">
        <f t="shared" ca="1" si="120"/>
        <v>0</v>
      </c>
    </row>
    <row r="1495" spans="1:6">
      <c r="A1495" s="3" t="str">
        <f t="shared" ca="1" si="116"/>
        <v/>
      </c>
      <c r="B1495" s="2" t="str">
        <f t="shared" ca="1" si="117"/>
        <v/>
      </c>
      <c r="C1495" s="2" t="str">
        <f ca="1">IF(E1494="continue",SUM(B$8:B1495),"")</f>
        <v/>
      </c>
      <c r="D1495" s="1" t="str">
        <f t="shared" ca="1" si="118"/>
        <v/>
      </c>
      <c r="E1495" s="13" t="str">
        <f t="shared" ca="1" si="119"/>
        <v>No ruin</v>
      </c>
      <c r="F1495">
        <f t="shared" ca="1" si="120"/>
        <v>0</v>
      </c>
    </row>
    <row r="1496" spans="1:6">
      <c r="A1496" s="3" t="str">
        <f t="shared" ca="1" si="116"/>
        <v/>
      </c>
      <c r="B1496" s="2" t="str">
        <f t="shared" ca="1" si="117"/>
        <v/>
      </c>
      <c r="C1496" s="2" t="str">
        <f ca="1">IF(E1495="continue",SUM(B$8:B1496),"")</f>
        <v/>
      </c>
      <c r="D1496" s="1" t="str">
        <f t="shared" ca="1" si="118"/>
        <v/>
      </c>
      <c r="E1496" s="13" t="str">
        <f t="shared" ca="1" si="119"/>
        <v>No ruin</v>
      </c>
      <c r="F1496">
        <f t="shared" ca="1" si="120"/>
        <v>0</v>
      </c>
    </row>
    <row r="1497" spans="1:6">
      <c r="A1497" s="3" t="str">
        <f t="shared" ca="1" si="116"/>
        <v/>
      </c>
      <c r="B1497" s="2" t="str">
        <f t="shared" ca="1" si="117"/>
        <v/>
      </c>
      <c r="C1497" s="2" t="str">
        <f ca="1">IF(E1496="continue",SUM(B$8:B1497),"")</f>
        <v/>
      </c>
      <c r="D1497" s="1" t="str">
        <f t="shared" ca="1" si="118"/>
        <v/>
      </c>
      <c r="E1497" s="13" t="str">
        <f t="shared" ca="1" si="119"/>
        <v>No ruin</v>
      </c>
      <c r="F1497">
        <f t="shared" ca="1" si="120"/>
        <v>0</v>
      </c>
    </row>
    <row r="1498" spans="1:6">
      <c r="A1498" s="3" t="str">
        <f t="shared" ca="1" si="116"/>
        <v/>
      </c>
      <c r="B1498" s="2" t="str">
        <f t="shared" ca="1" si="117"/>
        <v/>
      </c>
      <c r="C1498" s="2" t="str">
        <f ca="1">IF(E1497="continue",SUM(B$8:B1498),"")</f>
        <v/>
      </c>
      <c r="D1498" s="1" t="str">
        <f t="shared" ca="1" si="118"/>
        <v/>
      </c>
      <c r="E1498" s="13" t="str">
        <f t="shared" ca="1" si="119"/>
        <v>No ruin</v>
      </c>
      <c r="F1498">
        <f t="shared" ca="1" si="120"/>
        <v>0</v>
      </c>
    </row>
    <row r="1499" spans="1:6">
      <c r="A1499" s="3" t="str">
        <f t="shared" ca="1" si="116"/>
        <v/>
      </c>
      <c r="B1499" s="2" t="str">
        <f t="shared" ca="1" si="117"/>
        <v/>
      </c>
      <c r="C1499" s="2" t="str">
        <f ca="1">IF(E1498="continue",SUM(B$8:B1499),"")</f>
        <v/>
      </c>
      <c r="D1499" s="1" t="str">
        <f t="shared" ca="1" si="118"/>
        <v/>
      </c>
      <c r="E1499" s="13" t="str">
        <f t="shared" ca="1" si="119"/>
        <v>No ruin</v>
      </c>
      <c r="F1499">
        <f t="shared" ca="1" si="120"/>
        <v>0</v>
      </c>
    </row>
    <row r="1500" spans="1:6">
      <c r="A1500" s="3" t="str">
        <f t="shared" ref="A1500:A1523" ca="1" si="121">IF(E1499="continue",-LN(1-RAND())*O$3+A1499,"")</f>
        <v/>
      </c>
      <c r="B1500" s="2" t="str">
        <f t="shared" ref="B1500:B1523" ca="1" si="122">IF(E1499="continue",-LN(1-RAND())*M$3,"")</f>
        <v/>
      </c>
      <c r="C1500" s="2" t="str">
        <f ca="1">IF(E1499="continue",SUM(B$8:B1500),"")</f>
        <v/>
      </c>
      <c r="D1500" s="1" t="str">
        <f t="shared" ref="D1500:D1523" ca="1" si="123">IF(E1499="continue",(1+J$1)*(1/O$3)*M$3*A1500,"")</f>
        <v/>
      </c>
      <c r="E1500" s="13" t="str">
        <f t="shared" ref="E1500:E1523" ca="1" si="124">IF(A1500&gt;G$1,"No ruin",IF(AND(A1500&lt;=G$1,C1500&gt;J$4+D1500),"RUIN","continue"))</f>
        <v>No ruin</v>
      </c>
      <c r="F1500">
        <f t="shared" ca="1" si="120"/>
        <v>0</v>
      </c>
    </row>
    <row r="1501" spans="1:6">
      <c r="A1501" s="3" t="str">
        <f t="shared" ca="1" si="121"/>
        <v/>
      </c>
      <c r="B1501" s="2" t="str">
        <f t="shared" ca="1" si="122"/>
        <v/>
      </c>
      <c r="C1501" s="2" t="str">
        <f ca="1">IF(E1500="continue",SUM(B$8:B1501),"")</f>
        <v/>
      </c>
      <c r="D1501" s="1" t="str">
        <f t="shared" ca="1" si="123"/>
        <v/>
      </c>
      <c r="E1501" s="13" t="str">
        <f t="shared" ca="1" si="124"/>
        <v>No ruin</v>
      </c>
      <c r="F1501">
        <f t="shared" ca="1" si="120"/>
        <v>0</v>
      </c>
    </row>
    <row r="1502" spans="1:6">
      <c r="A1502" s="3" t="str">
        <f t="shared" ca="1" si="121"/>
        <v/>
      </c>
      <c r="B1502" s="2" t="str">
        <f t="shared" ca="1" si="122"/>
        <v/>
      </c>
      <c r="C1502" s="2" t="str">
        <f ca="1">IF(E1501="continue",SUM(B$8:B1502),"")</f>
        <v/>
      </c>
      <c r="D1502" s="1" t="str">
        <f t="shared" ca="1" si="123"/>
        <v/>
      </c>
      <c r="E1502" s="13" t="str">
        <f t="shared" ca="1" si="124"/>
        <v>No ruin</v>
      </c>
      <c r="F1502">
        <f t="shared" ca="1" si="120"/>
        <v>0</v>
      </c>
    </row>
    <row r="1503" spans="1:6">
      <c r="A1503" s="3" t="str">
        <f t="shared" ca="1" si="121"/>
        <v/>
      </c>
      <c r="B1503" s="2" t="str">
        <f t="shared" ca="1" si="122"/>
        <v/>
      </c>
      <c r="C1503" s="2" t="str">
        <f ca="1">IF(E1502="continue",SUM(B$8:B1503),"")</f>
        <v/>
      </c>
      <c r="D1503" s="1" t="str">
        <f t="shared" ca="1" si="123"/>
        <v/>
      </c>
      <c r="E1503" s="13" t="str">
        <f t="shared" ca="1" si="124"/>
        <v>No ruin</v>
      </c>
      <c r="F1503">
        <f t="shared" ca="1" si="120"/>
        <v>0</v>
      </c>
    </row>
    <row r="1504" spans="1:6">
      <c r="A1504" s="3" t="str">
        <f t="shared" ca="1" si="121"/>
        <v/>
      </c>
      <c r="B1504" s="2" t="str">
        <f t="shared" ca="1" si="122"/>
        <v/>
      </c>
      <c r="C1504" s="2" t="str">
        <f ca="1">IF(E1503="continue",SUM(B$8:B1504),"")</f>
        <v/>
      </c>
      <c r="D1504" s="1" t="str">
        <f t="shared" ca="1" si="123"/>
        <v/>
      </c>
      <c r="E1504" s="13" t="str">
        <f t="shared" ca="1" si="124"/>
        <v>No ruin</v>
      </c>
      <c r="F1504">
        <f t="shared" ca="1" si="120"/>
        <v>0</v>
      </c>
    </row>
    <row r="1505" spans="1:6">
      <c r="A1505" s="3" t="str">
        <f t="shared" ca="1" si="121"/>
        <v/>
      </c>
      <c r="B1505" s="2" t="str">
        <f t="shared" ca="1" si="122"/>
        <v/>
      </c>
      <c r="C1505" s="2" t="str">
        <f ca="1">IF(E1504="continue",SUM(B$8:B1505),"")</f>
        <v/>
      </c>
      <c r="D1505" s="1" t="str">
        <f t="shared" ca="1" si="123"/>
        <v/>
      </c>
      <c r="E1505" s="13" t="str">
        <f t="shared" ca="1" si="124"/>
        <v>No ruin</v>
      </c>
      <c r="F1505">
        <f t="shared" ca="1" si="120"/>
        <v>0</v>
      </c>
    </row>
    <row r="1506" spans="1:6">
      <c r="A1506" s="3" t="str">
        <f t="shared" ca="1" si="121"/>
        <v/>
      </c>
      <c r="B1506" s="2" t="str">
        <f t="shared" ca="1" si="122"/>
        <v/>
      </c>
      <c r="C1506" s="2" t="str">
        <f ca="1">IF(E1505="continue",SUM(B$8:B1506),"")</f>
        <v/>
      </c>
      <c r="D1506" s="1" t="str">
        <f t="shared" ca="1" si="123"/>
        <v/>
      </c>
      <c r="E1506" s="13" t="str">
        <f t="shared" ca="1" si="124"/>
        <v>No ruin</v>
      </c>
      <c r="F1506">
        <f t="shared" ca="1" si="120"/>
        <v>0</v>
      </c>
    </row>
    <row r="1507" spans="1:6">
      <c r="A1507" s="3" t="str">
        <f t="shared" ca="1" si="121"/>
        <v/>
      </c>
      <c r="B1507" s="2" t="str">
        <f t="shared" ca="1" si="122"/>
        <v/>
      </c>
      <c r="C1507" s="2" t="str">
        <f ca="1">IF(E1506="continue",SUM(B$8:B1507),"")</f>
        <v/>
      </c>
      <c r="D1507" s="1" t="str">
        <f t="shared" ca="1" si="123"/>
        <v/>
      </c>
      <c r="E1507" s="13" t="str">
        <f t="shared" ca="1" si="124"/>
        <v>No ruin</v>
      </c>
      <c r="F1507">
        <f t="shared" ca="1" si="120"/>
        <v>0</v>
      </c>
    </row>
    <row r="1508" spans="1:6">
      <c r="A1508" s="3" t="str">
        <f t="shared" ca="1" si="121"/>
        <v/>
      </c>
      <c r="B1508" s="2" t="str">
        <f t="shared" ca="1" si="122"/>
        <v/>
      </c>
      <c r="C1508" s="2" t="str">
        <f ca="1">IF(E1507="continue",SUM(B$8:B1508),"")</f>
        <v/>
      </c>
      <c r="D1508" s="1" t="str">
        <f t="shared" ca="1" si="123"/>
        <v/>
      </c>
      <c r="E1508" s="13" t="str">
        <f t="shared" ca="1" si="124"/>
        <v>No ruin</v>
      </c>
      <c r="F1508">
        <f t="shared" ca="1" si="120"/>
        <v>0</v>
      </c>
    </row>
    <row r="1509" spans="1:6">
      <c r="A1509" s="3" t="str">
        <f t="shared" ca="1" si="121"/>
        <v/>
      </c>
      <c r="B1509" s="2" t="str">
        <f t="shared" ca="1" si="122"/>
        <v/>
      </c>
      <c r="C1509" s="2" t="str">
        <f ca="1">IF(E1508="continue",SUM(B$8:B1509),"")</f>
        <v/>
      </c>
      <c r="D1509" s="1" t="str">
        <f t="shared" ca="1" si="123"/>
        <v/>
      </c>
      <c r="E1509" s="13" t="str">
        <f t="shared" ca="1" si="124"/>
        <v>No ruin</v>
      </c>
      <c r="F1509">
        <f t="shared" ca="1" si="120"/>
        <v>0</v>
      </c>
    </row>
    <row r="1510" spans="1:6">
      <c r="A1510" s="3" t="str">
        <f t="shared" ca="1" si="121"/>
        <v/>
      </c>
      <c r="B1510" s="2" t="str">
        <f t="shared" ca="1" si="122"/>
        <v/>
      </c>
      <c r="C1510" s="2" t="str">
        <f ca="1">IF(E1509="continue",SUM(B$8:B1510),"")</f>
        <v/>
      </c>
      <c r="D1510" s="1" t="str">
        <f t="shared" ca="1" si="123"/>
        <v/>
      </c>
      <c r="E1510" s="13" t="str">
        <f t="shared" ca="1" si="124"/>
        <v>No ruin</v>
      </c>
      <c r="F1510">
        <f t="shared" ca="1" si="120"/>
        <v>0</v>
      </c>
    </row>
    <row r="1511" spans="1:6">
      <c r="A1511" s="3" t="str">
        <f t="shared" ca="1" si="121"/>
        <v/>
      </c>
      <c r="B1511" s="2" t="str">
        <f t="shared" ca="1" si="122"/>
        <v/>
      </c>
      <c r="C1511" s="2" t="str">
        <f ca="1">IF(E1510="continue",SUM(B$8:B1511),"")</f>
        <v/>
      </c>
      <c r="D1511" s="1" t="str">
        <f t="shared" ca="1" si="123"/>
        <v/>
      </c>
      <c r="E1511" s="13" t="str">
        <f t="shared" ca="1" si="124"/>
        <v>No ruin</v>
      </c>
      <c r="F1511">
        <f t="shared" ca="1" si="120"/>
        <v>0</v>
      </c>
    </row>
    <row r="1512" spans="1:6">
      <c r="A1512" s="3" t="str">
        <f t="shared" ca="1" si="121"/>
        <v/>
      </c>
      <c r="B1512" s="2" t="str">
        <f t="shared" ca="1" si="122"/>
        <v/>
      </c>
      <c r="C1512" s="2" t="str">
        <f ca="1">IF(E1511="continue",SUM(B$8:B1512),"")</f>
        <v/>
      </c>
      <c r="D1512" s="1" t="str">
        <f t="shared" ca="1" si="123"/>
        <v/>
      </c>
      <c r="E1512" s="13" t="str">
        <f t="shared" ca="1" si="124"/>
        <v>No ruin</v>
      </c>
      <c r="F1512">
        <f t="shared" ca="1" si="120"/>
        <v>0</v>
      </c>
    </row>
    <row r="1513" spans="1:6">
      <c r="A1513" s="3" t="str">
        <f t="shared" ca="1" si="121"/>
        <v/>
      </c>
      <c r="B1513" s="2" t="str">
        <f t="shared" ca="1" si="122"/>
        <v/>
      </c>
      <c r="C1513" s="2" t="str">
        <f ca="1">IF(E1512="continue",SUM(B$8:B1513),"")</f>
        <v/>
      </c>
      <c r="D1513" s="1" t="str">
        <f t="shared" ca="1" si="123"/>
        <v/>
      </c>
      <c r="E1513" s="13" t="str">
        <f t="shared" ca="1" si="124"/>
        <v>No ruin</v>
      </c>
      <c r="F1513">
        <f t="shared" ca="1" si="120"/>
        <v>0</v>
      </c>
    </row>
    <row r="1514" spans="1:6">
      <c r="A1514" s="3" t="str">
        <f t="shared" ca="1" si="121"/>
        <v/>
      </c>
      <c r="B1514" s="2" t="str">
        <f t="shared" ca="1" si="122"/>
        <v/>
      </c>
      <c r="C1514" s="2" t="str">
        <f ca="1">IF(E1513="continue",SUM(B$8:B1514),"")</f>
        <v/>
      </c>
      <c r="D1514" s="1" t="str">
        <f t="shared" ca="1" si="123"/>
        <v/>
      </c>
      <c r="E1514" s="13" t="str">
        <f t="shared" ca="1" si="124"/>
        <v>No ruin</v>
      </c>
      <c r="F1514">
        <f t="shared" ca="1" si="120"/>
        <v>0</v>
      </c>
    </row>
    <row r="1515" spans="1:6">
      <c r="A1515" s="3" t="str">
        <f t="shared" ca="1" si="121"/>
        <v/>
      </c>
      <c r="B1515" s="2" t="str">
        <f t="shared" ca="1" si="122"/>
        <v/>
      </c>
      <c r="C1515" s="2" t="str">
        <f ca="1">IF(E1514="continue",SUM(B$8:B1515),"")</f>
        <v/>
      </c>
      <c r="D1515" s="1" t="str">
        <f t="shared" ca="1" si="123"/>
        <v/>
      </c>
      <c r="E1515" s="13" t="str">
        <f t="shared" ca="1" si="124"/>
        <v>No ruin</v>
      </c>
      <c r="F1515">
        <f t="shared" ca="1" si="120"/>
        <v>0</v>
      </c>
    </row>
    <row r="1516" spans="1:6">
      <c r="A1516" s="3" t="str">
        <f t="shared" ca="1" si="121"/>
        <v/>
      </c>
      <c r="B1516" s="2" t="str">
        <f t="shared" ca="1" si="122"/>
        <v/>
      </c>
      <c r="C1516" s="2" t="str">
        <f ca="1">IF(E1515="continue",SUM(B$8:B1516),"")</f>
        <v/>
      </c>
      <c r="D1516" s="1" t="str">
        <f t="shared" ca="1" si="123"/>
        <v/>
      </c>
      <c r="E1516" s="13" t="str">
        <f t="shared" ca="1" si="124"/>
        <v>No ruin</v>
      </c>
      <c r="F1516">
        <f t="shared" ca="1" si="120"/>
        <v>0</v>
      </c>
    </row>
    <row r="1517" spans="1:6">
      <c r="A1517" s="3" t="str">
        <f t="shared" ca="1" si="121"/>
        <v/>
      </c>
      <c r="B1517" s="2" t="str">
        <f t="shared" ca="1" si="122"/>
        <v/>
      </c>
      <c r="C1517" s="2" t="str">
        <f ca="1">IF(E1516="continue",SUM(B$8:B1517),"")</f>
        <v/>
      </c>
      <c r="D1517" s="1" t="str">
        <f t="shared" ca="1" si="123"/>
        <v/>
      </c>
      <c r="E1517" s="13" t="str">
        <f t="shared" ca="1" si="124"/>
        <v>No ruin</v>
      </c>
      <c r="F1517">
        <f t="shared" ca="1" si="120"/>
        <v>0</v>
      </c>
    </row>
    <row r="1518" spans="1:6">
      <c r="A1518" s="3" t="str">
        <f t="shared" ca="1" si="121"/>
        <v/>
      </c>
      <c r="B1518" s="2" t="str">
        <f t="shared" ca="1" si="122"/>
        <v/>
      </c>
      <c r="C1518" s="2" t="str">
        <f ca="1">IF(E1517="continue",SUM(B$8:B1518),"")</f>
        <v/>
      </c>
      <c r="D1518" s="1" t="str">
        <f t="shared" ca="1" si="123"/>
        <v/>
      </c>
      <c r="E1518" s="13" t="str">
        <f t="shared" ca="1" si="124"/>
        <v>No ruin</v>
      </c>
      <c r="F1518">
        <f t="shared" ca="1" si="120"/>
        <v>0</v>
      </c>
    </row>
    <row r="1519" spans="1:6">
      <c r="A1519" s="3" t="str">
        <f t="shared" ca="1" si="121"/>
        <v/>
      </c>
      <c r="B1519" s="2" t="str">
        <f t="shared" ca="1" si="122"/>
        <v/>
      </c>
      <c r="C1519" s="2" t="str">
        <f ca="1">IF(E1518="continue",SUM(B$8:B1519),"")</f>
        <v/>
      </c>
      <c r="D1519" s="1" t="str">
        <f t="shared" ca="1" si="123"/>
        <v/>
      </c>
      <c r="E1519" s="13" t="str">
        <f t="shared" ca="1" si="124"/>
        <v>No ruin</v>
      </c>
      <c r="F1519">
        <f t="shared" ca="1" si="120"/>
        <v>0</v>
      </c>
    </row>
    <row r="1520" spans="1:6">
      <c r="A1520" s="3" t="str">
        <f t="shared" ca="1" si="121"/>
        <v/>
      </c>
      <c r="B1520" s="2" t="str">
        <f t="shared" ca="1" si="122"/>
        <v/>
      </c>
      <c r="C1520" s="2" t="str">
        <f ca="1">IF(E1519="continue",SUM(B$8:B1520),"")</f>
        <v/>
      </c>
      <c r="D1520" s="1" t="str">
        <f t="shared" ca="1" si="123"/>
        <v/>
      </c>
      <c r="E1520" s="13" t="str">
        <f t="shared" ca="1" si="124"/>
        <v>No ruin</v>
      </c>
      <c r="F1520">
        <f t="shared" ca="1" si="120"/>
        <v>0</v>
      </c>
    </row>
    <row r="1521" spans="1:6">
      <c r="A1521" s="3" t="str">
        <f t="shared" ca="1" si="121"/>
        <v/>
      </c>
      <c r="B1521" s="2" t="str">
        <f t="shared" ca="1" si="122"/>
        <v/>
      </c>
      <c r="C1521" s="2" t="str">
        <f ca="1">IF(E1520="continue",SUM(B$8:B1521),"")</f>
        <v/>
      </c>
      <c r="D1521" s="1" t="str">
        <f t="shared" ca="1" si="123"/>
        <v/>
      </c>
      <c r="E1521" s="13" t="str">
        <f t="shared" ca="1" si="124"/>
        <v>No ruin</v>
      </c>
      <c r="F1521">
        <f t="shared" ca="1" si="120"/>
        <v>0</v>
      </c>
    </row>
    <row r="1522" spans="1:6">
      <c r="A1522" s="3" t="str">
        <f t="shared" ca="1" si="121"/>
        <v/>
      </c>
      <c r="B1522" s="2" t="str">
        <f t="shared" ca="1" si="122"/>
        <v/>
      </c>
      <c r="C1522" s="2" t="str">
        <f ca="1">IF(E1521="continue",SUM(B$8:B1522),"")</f>
        <v/>
      </c>
      <c r="D1522" s="1" t="str">
        <f t="shared" ca="1" si="123"/>
        <v/>
      </c>
      <c r="E1522" s="13" t="str">
        <f t="shared" ca="1" si="124"/>
        <v>No ruin</v>
      </c>
      <c r="F1522">
        <f t="shared" ca="1" si="120"/>
        <v>0</v>
      </c>
    </row>
    <row r="1523" spans="1:6">
      <c r="A1523" s="3" t="str">
        <f t="shared" ca="1" si="121"/>
        <v/>
      </c>
      <c r="B1523" s="2" t="str">
        <f t="shared" ca="1" si="122"/>
        <v/>
      </c>
      <c r="C1523" s="2" t="str">
        <f ca="1">IF(E1522="continue",SUM(B$8:B1523),"")</f>
        <v/>
      </c>
      <c r="D1523" s="1" t="str">
        <f t="shared" ca="1" si="123"/>
        <v/>
      </c>
      <c r="E1523" s="13" t="str">
        <f t="shared" ca="1" si="124"/>
        <v>No ruin</v>
      </c>
      <c r="F1523">
        <f t="shared" ca="1" si="120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FINITE-TIME RUIN</vt:lpstr>
    </vt:vector>
  </TitlesOfParts>
  <Company>ANU College of Business &amp; Economics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Higgins</dc:creator>
  <cp:lastModifiedBy>u3519915</cp:lastModifiedBy>
  <dcterms:created xsi:type="dcterms:W3CDTF">2013-05-06T22:05:36Z</dcterms:created>
  <dcterms:modified xsi:type="dcterms:W3CDTF">2015-05-19T00:03:49Z</dcterms:modified>
</cp:coreProperties>
</file>